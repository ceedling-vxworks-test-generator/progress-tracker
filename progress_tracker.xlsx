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設定" sheetId="2" state="visible" r:id="rId4"/>
    <sheet name="マイルストーン一覧" sheetId="3" state="visible" r:id="rId5"/>
    <sheet name="担当者一覧" sheetId="4" state="visible" r:id="rId6"/>
    <sheet name="タスク一覧" sheetId="5" state="visible" r:id="rId7"/>
    <sheet name="ダッシュボード" sheetId="6" state="visible" r:id="rId8"/>
  </sheets>
  <definedNames>
    <definedName function="false" hidden="true" localSheetId="4" name="_xlnm._FilterDatabase" vbProcedure="false">タスク一覧!$A$2:$S$102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<sst xmlns="http://schemas.openxmlformats.org/spreadsheetml/2006/main" count="164" uniqueCount="112">
  <si>
    <t xml:space="preserve">進捗管理シート 使い方</t>
  </si>
  <si>
    <t xml:space="preserve">概要</t>
  </si>
  <si>
    <r>
      <rPr>
        <sz val="10"/>
        <color rgb="FF000000"/>
        <rFont val="WenQuanYi Zen Hei"/>
        <family val="2"/>
      </rPr>
      <t xml:space="preserve">タスクの依存関係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先行タスク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と所要日数から、各タスクの計画開始日・終了日・クリティカルパスを自動計算します。</t>
    </r>
  </si>
  <si>
    <t xml:space="preserve">「タスク一覧」シートに入力するだけで、他のシートは自動的に更新されます。</t>
  </si>
  <si>
    <t xml:space="preserve">■ シート構成</t>
  </si>
  <si>
    <t xml:space="preserve">設定</t>
  </si>
  <si>
    <r>
      <rPr>
        <sz val="10"/>
        <color rgb="FF000000"/>
        <rFont val="WenQuanYi Zen Hei"/>
        <family val="2"/>
      </rPr>
      <t xml:space="preserve">プロジェクト開始日を入力します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黄色セル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。終了予定日は自動計算されます。</t>
    </r>
  </si>
  <si>
    <t xml:space="preserve">マイルストーン一覧</t>
  </si>
  <si>
    <t xml:space="preserve">マイルストーン名と期限を登録します。「タスク一覧」のプルダウンに反映されます。</t>
  </si>
  <si>
    <t xml:space="preserve">担当者一覧</t>
  </si>
  <si>
    <t xml:space="preserve">担当者名を登録します。「タスク一覧」のプルダウンに反映されます。</t>
  </si>
  <si>
    <t xml:space="preserve">タスク一覧</t>
  </si>
  <si>
    <t xml:space="preserve">メインの入力シート。タスクの追加・削除・更新はここで行います。</t>
  </si>
  <si>
    <t xml:space="preserve">ダッシュボード</t>
  </si>
  <si>
    <t xml:space="preserve">担当者別・マイルストーン別の残タスク状況、プロジェクト全体の状況を自動集計します。</t>
  </si>
  <si>
    <t xml:space="preserve">■ タスク一覧の入力方法</t>
  </si>
  <si>
    <t xml:space="preserve">ID</t>
  </si>
  <si>
    <r>
      <rPr>
        <sz val="10"/>
        <color rgb="FF000000"/>
        <rFont val="WenQuanYi Zen Hei"/>
        <family val="2"/>
      </rPr>
      <t xml:space="preserve">タスクを識別する一意の数字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例</t>
    </r>
    <r>
      <rPr>
        <sz val="10"/>
        <color rgb="FF000000"/>
        <rFont val="Arial"/>
        <family val="0"/>
        <charset val="1"/>
      </rPr>
      <t xml:space="preserve">: 1, 2, 3...)</t>
    </r>
    <r>
      <rPr>
        <sz val="10"/>
        <color rgb="FF000000"/>
        <rFont val="WenQuanYi Zen Hei"/>
        <family val="2"/>
      </rPr>
      <t xml:space="preserve">。他のタスクの「先行タスク」欄から参照されます。</t>
    </r>
  </si>
  <si>
    <r>
      <rPr>
        <b val="true"/>
        <sz val="10"/>
        <rFont val="WenQuanYi Zen Hei"/>
        <family val="2"/>
      </rPr>
      <t xml:space="preserve">親タスク</t>
    </r>
    <r>
      <rPr>
        <b val="true"/>
        <sz val="10"/>
        <rFont val="Arial"/>
        <family val="0"/>
        <charset val="1"/>
      </rPr>
      <t xml:space="preserve">ID</t>
    </r>
  </si>
  <si>
    <r>
      <rPr>
        <sz val="10"/>
        <color rgb="FF000000"/>
        <rFont val="WenQuanYi Zen Hei"/>
        <family val="2"/>
      </rPr>
      <t xml:space="preserve">サブタスクにする場合、親タスクの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WenQuanYi Zen Hei"/>
        <family val="2"/>
      </rPr>
      <t xml:space="preserve">を入力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任意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。「タスク一覧」を親タスク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WenQuanYi Zen Hei"/>
        <family val="2"/>
      </rPr>
      <t xml:space="preserve">で並び替え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フィルタするとサブタスクをまとめて確認できます。※親タスク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WenQuanYi Zen Hei"/>
        <family val="2"/>
      </rPr>
      <t xml:space="preserve">はグループ分け表示のためだけの項目で、日程やクリティカルパスの計算には使われません。サブタスク自体の日程を決めたい場合は、そのサブタスクにも先行タスクを設定してください。</t>
    </r>
  </si>
  <si>
    <r>
      <rPr>
        <b val="true"/>
        <sz val="10"/>
        <rFont val="WenQuanYi Zen Hei"/>
        <family val="2"/>
      </rPr>
      <t xml:space="preserve">先行タスク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〜</t>
    </r>
    <r>
      <rPr>
        <b val="true"/>
        <sz val="10"/>
        <rFont val="Arial"/>
        <family val="0"/>
        <charset val="1"/>
      </rPr>
      <t xml:space="preserve">3</t>
    </r>
  </si>
  <si>
    <r>
      <rPr>
        <sz val="10"/>
        <color rgb="FF000000"/>
        <rFont val="WenQuanYi Zen Hei"/>
        <family val="2"/>
      </rPr>
      <t xml:space="preserve">このタスクの前に終わらせておくべきタスクの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WenQuanYi Zen Hei"/>
        <family val="2"/>
      </rPr>
      <t xml:space="preserve">を最大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件まで入力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任意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。プルダウンで選択できます。★重要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先行タスクは、必ずそのタスクより上の行に入力してください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例</t>
    </r>
    <r>
      <rPr>
        <sz val="10"/>
        <color rgb="FF000000"/>
        <rFont val="Arial"/>
        <family val="0"/>
        <charset val="1"/>
      </rPr>
      <t xml:space="preserve">: ID3</t>
    </r>
    <r>
      <rPr>
        <sz val="10"/>
        <color rgb="FF000000"/>
        <rFont val="WenQuanYi Zen Hei"/>
        <family val="2"/>
      </rPr>
      <t xml:space="preserve">の先行タスクが</t>
    </r>
    <r>
      <rPr>
        <sz val="10"/>
        <color rgb="FF000000"/>
        <rFont val="Arial"/>
        <family val="0"/>
        <charset val="1"/>
      </rPr>
      <t xml:space="preserve">ID1</t>
    </r>
    <r>
      <rPr>
        <sz val="10"/>
        <color rgb="FF000000"/>
        <rFont val="WenQuanYi Zen Hei"/>
        <family val="2"/>
      </rPr>
      <t xml:space="preserve">なら、</t>
    </r>
    <r>
      <rPr>
        <sz val="10"/>
        <color rgb="FF000000"/>
        <rFont val="Arial"/>
        <family val="0"/>
        <charset val="1"/>
      </rPr>
      <t xml:space="preserve">ID1</t>
    </r>
    <r>
      <rPr>
        <sz val="10"/>
        <color rgb="FF000000"/>
        <rFont val="WenQuanYi Zen Hei"/>
        <family val="2"/>
      </rPr>
      <t xml:space="preserve">の行は</t>
    </r>
    <r>
      <rPr>
        <sz val="10"/>
        <color rgb="FF000000"/>
        <rFont val="Arial"/>
        <family val="0"/>
        <charset val="1"/>
      </rPr>
      <t xml:space="preserve">ID3</t>
    </r>
    <r>
      <rPr>
        <sz val="10"/>
        <color rgb="FF000000"/>
        <rFont val="WenQuanYi Zen Hei"/>
        <family val="2"/>
      </rPr>
      <t xml:space="preserve">より上に来るように並べる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。数式が正しく計算されるための前提条件です。</t>
    </r>
  </si>
  <si>
    <t xml:space="preserve">所要日数</t>
  </si>
  <si>
    <r>
      <rPr>
        <sz val="10"/>
        <color rgb="FF000000"/>
        <rFont val="WenQuanYi Zen Hei"/>
        <family val="2"/>
      </rPr>
      <t xml:space="preserve">土日を除いた実働日数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営業日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日で終わるタスクは「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」。</t>
    </r>
  </si>
  <si>
    <t xml:space="preserve">ステータス</t>
  </si>
  <si>
    <r>
      <rPr>
        <sz val="10"/>
        <color rgb="FF000000"/>
        <rFont val="WenQuanYi Zen Hei"/>
        <family val="2"/>
      </rPr>
      <t xml:space="preserve">未着手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進行中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完了 のいずれかを選択。「完了」以外は自動的に「残タスク」として集計されます。</t>
    </r>
  </si>
  <si>
    <r>
      <rPr>
        <b val="true"/>
        <sz val="11"/>
        <color rgb="FF305496"/>
        <rFont val="WenQuanYi Zen Hei"/>
        <family val="2"/>
      </rPr>
      <t xml:space="preserve">■ 自動計算される項目</t>
    </r>
    <r>
      <rPr>
        <b val="true"/>
        <sz val="11"/>
        <color rgb="FF305496"/>
        <rFont val="Arial"/>
        <family val="0"/>
        <charset val="1"/>
      </rPr>
      <t xml:space="preserve">(</t>
    </r>
    <r>
      <rPr>
        <b val="true"/>
        <sz val="11"/>
        <color rgb="FF305496"/>
        <rFont val="WenQuanYi Zen Hei"/>
        <family val="2"/>
      </rPr>
      <t xml:space="preserve">グレーの数式セルは編集しないでください</t>
    </r>
    <r>
      <rPr>
        <b val="true"/>
        <sz val="11"/>
        <color rgb="FF305496"/>
        <rFont val="Arial"/>
        <family val="0"/>
        <charset val="1"/>
      </rPr>
      <t xml:space="preserve">)</t>
    </r>
  </si>
  <si>
    <t xml:space="preserve">計画開始日・計画終了日</t>
  </si>
  <si>
    <r>
      <rPr>
        <sz val="10"/>
        <color rgb="FF000000"/>
        <rFont val="WenQuanYi Zen Hei"/>
        <family val="2"/>
      </rPr>
      <t xml:space="preserve">先行タスクの終了日と所要日数から自動計算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前進計算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</t>
    </r>
  </si>
  <si>
    <t xml:space="preserve">最遅開始日・最遅終了日</t>
  </si>
  <si>
    <r>
      <rPr>
        <sz val="10"/>
        <color rgb="FF000000"/>
        <rFont val="WenQuanYi Zen Hei"/>
        <family val="2"/>
      </rPr>
      <t xml:space="preserve">プロジェクトの完了予定日に間に合わせるための、後ろから見た限界の開始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終了日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後退計算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</si>
  <si>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WenQuanYi Zen Hei"/>
        <family val="2"/>
      </rPr>
      <t xml:space="preserve">余裕日数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スラック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</si>
  <si>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「最遅開始日 − 計画開始日」の営業日数。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以下のタスクはクリティカルパス上にあり、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日でも遅れるとプロジェクト全体が遅延します。</t>
    </r>
  </si>
  <si>
    <t xml:space="preserve">クリティカルパス</t>
  </si>
  <si>
    <r>
      <rPr>
        <sz val="10"/>
        <color rgb="FF000000"/>
        <rFont val="WenQuanYi Zen Hei"/>
        <family val="2"/>
      </rPr>
      <t xml:space="preserve">余裕日数が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以下のタスクに「クリティカル」と表示されます。ダッシュボードや行の色付け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赤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で一目でわかります。</t>
    </r>
  </si>
  <si>
    <t xml:space="preserve">遅延</t>
  </si>
  <si>
    <r>
      <rPr>
        <sz val="10"/>
        <color rgb="FF000000"/>
        <rFont val="WenQuanYi Zen Hei"/>
        <family val="2"/>
      </rPr>
      <t xml:space="preserve">未完了かつ計画終了日を過ぎているタスクに「遅延」と表示されます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行はオレンジ色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</t>
    </r>
  </si>
  <si>
    <t xml:space="preserve">ブロック要因</t>
  </si>
  <si>
    <t xml:space="preserve">先行タスクのうち、まだ「完了」になっていないタスク名を自動表示。何が原因で着手・完了できないのかがわかります。</t>
  </si>
  <si>
    <t xml:space="preserve">■ 使い方のコツ</t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</si>
  <si>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行目はサンプルデータです。自由に書き換え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削除してください。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WenQuanYi Zen Hei"/>
        <family val="2"/>
      </rPr>
      <t xml:space="preserve">行目以降の空欄に新しいタスクを追加すると、数式は自動的に適用されます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あらかじめ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行分コピー済み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</t>
    </r>
  </si>
  <si>
    <t xml:space="preserve">「タスク一覧」のヘッダー行にはオートフィルタが設定済みです。担当者やマイルストーン、ステータスで絞り込むと「担当者ごとの残タスク」「マイルストーンごとの残タスク」がすぐ確認できます。</t>
  </si>
  <si>
    <r>
      <rPr>
        <sz val="10"/>
        <color rgb="FF000000"/>
        <rFont val="WenQuanYi Zen Hei"/>
        <family val="2"/>
      </rPr>
      <t xml:space="preserve">先行タスクが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件以上あるタスクは、いったんダミーの中間タスク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所要日数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扱いにはできないため所要日数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などにして分割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を挟むか、最も影響の大きい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件に絞ってください。</t>
    </r>
  </si>
  <si>
    <r>
      <rPr>
        <sz val="10"/>
        <color rgb="FF000000"/>
        <rFont val="WenQuanYi Zen Hei"/>
        <family val="2"/>
      </rPr>
      <t xml:space="preserve">祝日を考慮したい場合は、</t>
    </r>
    <r>
      <rPr>
        <sz val="10"/>
        <color rgb="FF000000"/>
        <rFont val="Arial"/>
        <family val="0"/>
        <charset val="1"/>
      </rPr>
      <t xml:space="preserve">WORKDAY</t>
    </r>
    <r>
      <rPr>
        <sz val="10"/>
        <color rgb="FF000000"/>
        <rFont val="WenQuanYi Zen Hei"/>
        <family val="2"/>
      </rPr>
      <t xml:space="preserve">関数・</t>
    </r>
    <r>
      <rPr>
        <sz val="10"/>
        <color rgb="FF000000"/>
        <rFont val="Arial"/>
        <family val="0"/>
        <charset val="1"/>
      </rPr>
      <t xml:space="preserve">NETWORKDAYS</t>
    </r>
    <r>
      <rPr>
        <sz val="10"/>
        <color rgb="FF000000"/>
        <rFont val="WenQuanYi Zen Hei"/>
        <family val="2"/>
      </rPr>
      <t xml:space="preserve">関数の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引数目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祝日リスト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を追加してカスタマイズできます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要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WenQuanYi Zen Hei"/>
        <family val="2"/>
      </rPr>
      <t xml:space="preserve">知識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</t>
    </r>
  </si>
  <si>
    <t xml:space="preserve">■ 今後について</t>
  </si>
  <si>
    <t xml:space="preserve">プロジェクト設定</t>
  </si>
  <si>
    <t xml:space="preserve">プロジェクト開始日</t>
  </si>
  <si>
    <r>
      <rPr>
        <i val="true"/>
        <sz val="9"/>
        <color rgb="FF666666"/>
        <rFont val="WenQuanYi Zen Hei"/>
        <family val="2"/>
      </rPr>
      <t xml:space="preserve">★ここを編集してください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最初のタスクの着手日</t>
    </r>
    <r>
      <rPr>
        <i val="true"/>
        <sz val="9"/>
        <color rgb="FF666666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</si>
  <si>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プロジェクト終了予定日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自動計算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</si>
  <si>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全タスクの計画終了日のうち、最も遅い日付</t>
    </r>
    <r>
      <rPr>
        <i val="true"/>
        <sz val="9"/>
        <color rgb="FF666666"/>
        <rFont val="Arial"/>
        <family val="0"/>
        <charset val="1"/>
      </rPr>
      <t xml:space="preserve">(=</t>
    </r>
    <r>
      <rPr>
        <i val="true"/>
        <sz val="9"/>
        <color rgb="FF666666"/>
        <rFont val="WenQuanYi Zen Hei"/>
        <family val="2"/>
      </rPr>
      <t xml:space="preserve">クリティカルパスの完了日</t>
    </r>
    <r>
      <rPr>
        <i val="true"/>
        <sz val="9"/>
        <color rgb="FF666666"/>
        <rFont val="Arial"/>
        <family val="0"/>
        <charset val="1"/>
      </rPr>
      <t xml:space="preserve">)</t>
    </r>
  </si>
  <si>
    <t xml:space="preserve">本日</t>
  </si>
  <si>
    <t xml:space="preserve">マイルストーン名</t>
  </si>
  <si>
    <t xml:space="preserve">期限</t>
  </si>
  <si>
    <t xml:space="preserve">備考</t>
  </si>
  <si>
    <t xml:space="preserve">M1</t>
  </si>
  <si>
    <t xml:space="preserve">要件定義完了</t>
  </si>
  <si>
    <t xml:space="preserve">サンプル</t>
  </si>
  <si>
    <t xml:space="preserve">M2</t>
  </si>
  <si>
    <t xml:space="preserve">設計完了</t>
  </si>
  <si>
    <t xml:space="preserve">M3</t>
  </si>
  <si>
    <t xml:space="preserve">リリース</t>
  </si>
  <si>
    <r>
      <rPr>
        <i val="true"/>
        <sz val="9"/>
        <color rgb="FF666666"/>
        <rFont val="Arial"/>
        <family val="0"/>
        <charset val="1"/>
      </rPr>
      <t xml:space="preserve">※ 3</t>
    </r>
    <r>
      <rPr>
        <i val="true"/>
        <sz val="9"/>
        <color rgb="FF666666"/>
        <rFont val="WenQuanYi Zen Hei"/>
        <family val="2"/>
      </rPr>
      <t xml:space="preserve">行目以降に自由に追加してください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空欄不可・</t>
    </r>
    <r>
      <rPr>
        <i val="true"/>
        <sz val="9"/>
        <color rgb="FF666666"/>
        <rFont val="Arial"/>
        <family val="0"/>
        <charset val="1"/>
      </rPr>
      <t xml:space="preserve">ID</t>
    </r>
    <r>
      <rPr>
        <i val="true"/>
        <sz val="9"/>
        <color rgb="FF666666"/>
        <rFont val="WenQuanYi Zen Hei"/>
        <family val="2"/>
      </rPr>
      <t xml:space="preserve">は一意にしてください</t>
    </r>
    <r>
      <rPr>
        <i val="true"/>
        <sz val="9"/>
        <color rgb="FF666666"/>
        <rFont val="Arial"/>
        <family val="0"/>
        <charset val="1"/>
      </rPr>
      <t xml:space="preserve">)</t>
    </r>
    <r>
      <rPr>
        <i val="true"/>
        <sz val="9"/>
        <color rgb="FF666666"/>
        <rFont val="WenQuanYi Zen Hei"/>
        <family val="2"/>
      </rPr>
      <t xml:space="preserve">。「タスク一覧」のマイルストーン欄のプルダウンは</t>
    </r>
    <r>
      <rPr>
        <i val="true"/>
        <sz val="9"/>
        <color rgb="FF666666"/>
        <rFont val="Arial"/>
        <family val="0"/>
        <charset val="1"/>
      </rPr>
      <t xml:space="preserve">B3:B12</t>
    </r>
    <r>
      <rPr>
        <i val="true"/>
        <sz val="9"/>
        <color rgb="FF666666"/>
        <rFont val="WenQuanYi Zen Hei"/>
        <family val="2"/>
      </rPr>
      <t xml:space="preserve">を参照しています。</t>
    </r>
  </si>
  <si>
    <t xml:space="preserve">氏名</t>
  </si>
  <si>
    <t xml:space="preserve">A1</t>
  </si>
  <si>
    <r>
      <rPr>
        <sz val="10"/>
        <color rgb="FF0000FF"/>
        <rFont val="WenQuanYi Zen Hei"/>
        <family val="2"/>
      </rPr>
      <t xml:space="preserve">担当者</t>
    </r>
    <r>
      <rPr>
        <sz val="10"/>
        <color rgb="FF0000FF"/>
        <rFont val="Arial"/>
        <family val="0"/>
        <charset val="1"/>
      </rPr>
      <t xml:space="preserve">A(</t>
    </r>
    <r>
      <rPr>
        <sz val="10"/>
        <color rgb="FF0000FF"/>
        <rFont val="WenQuanYi Zen Hei"/>
        <family val="2"/>
      </rPr>
      <t xml:space="preserve">例</t>
    </r>
    <r>
      <rPr>
        <sz val="10"/>
        <color rgb="FF0000FF"/>
        <rFont val="Arial"/>
        <family val="0"/>
        <charset val="1"/>
      </rPr>
      <t xml:space="preserve">)</t>
    </r>
  </si>
  <si>
    <t xml:space="preserve">サンプル。実際の氏名に置き換えてください</t>
  </si>
  <si>
    <t xml:space="preserve">A2</t>
  </si>
  <si>
    <r>
      <rPr>
        <sz val="10"/>
        <color rgb="FF0000FF"/>
        <rFont val="WenQuanYi Zen Hei"/>
        <family val="2"/>
      </rPr>
      <t xml:space="preserve">担当者</t>
    </r>
    <r>
      <rPr>
        <sz val="10"/>
        <color rgb="FF0000FF"/>
        <rFont val="Arial"/>
        <family val="0"/>
        <charset val="1"/>
      </rPr>
      <t xml:space="preserve">B(</t>
    </r>
    <r>
      <rPr>
        <sz val="10"/>
        <color rgb="FF0000FF"/>
        <rFont val="WenQuanYi Zen Hei"/>
        <family val="2"/>
      </rPr>
      <t xml:space="preserve">例</t>
    </r>
    <r>
      <rPr>
        <sz val="10"/>
        <color rgb="FF0000FF"/>
        <rFont val="Arial"/>
        <family val="0"/>
        <charset val="1"/>
      </rPr>
      <t xml:space="preserve">)</t>
    </r>
  </si>
  <si>
    <t xml:space="preserve">A3</t>
  </si>
  <si>
    <r>
      <rPr>
        <sz val="10"/>
        <color rgb="FF0000FF"/>
        <rFont val="WenQuanYi Zen Hei"/>
        <family val="2"/>
      </rPr>
      <t xml:space="preserve">担当者</t>
    </r>
    <r>
      <rPr>
        <sz val="10"/>
        <color rgb="FF0000FF"/>
        <rFont val="Arial"/>
        <family val="0"/>
        <charset val="1"/>
      </rPr>
      <t xml:space="preserve">C(</t>
    </r>
    <r>
      <rPr>
        <sz val="10"/>
        <color rgb="FF0000FF"/>
        <rFont val="WenQuanYi Zen Hei"/>
        <family val="2"/>
      </rPr>
      <t xml:space="preserve">例</t>
    </r>
    <r>
      <rPr>
        <sz val="10"/>
        <color rgb="FF0000FF"/>
        <rFont val="Arial"/>
        <family val="0"/>
        <charset val="1"/>
      </rPr>
      <t xml:space="preserve">)</t>
    </r>
  </si>
  <si>
    <r>
      <rPr>
        <i val="true"/>
        <sz val="9"/>
        <color rgb="FF666666"/>
        <rFont val="Arial"/>
        <family val="0"/>
        <charset val="1"/>
      </rPr>
      <t xml:space="preserve">※ 3</t>
    </r>
    <r>
      <rPr>
        <i val="true"/>
        <sz val="9"/>
        <color rgb="FF666666"/>
        <rFont val="WenQuanYi Zen Hei"/>
        <family val="2"/>
      </rPr>
      <t xml:space="preserve">行目以降に自由に追加してください。「タスク一覧」の担当者欄のプルダウンは</t>
    </r>
    <r>
      <rPr>
        <i val="true"/>
        <sz val="9"/>
        <color rgb="FF666666"/>
        <rFont val="Arial"/>
        <family val="0"/>
        <charset val="1"/>
      </rPr>
      <t xml:space="preserve">B3:B12</t>
    </r>
    <r>
      <rPr>
        <i val="true"/>
        <sz val="9"/>
        <color rgb="FF666666"/>
        <rFont val="WenQuanYi Zen Hei"/>
        <family val="2"/>
      </rPr>
      <t xml:space="preserve">を参照しています。</t>
    </r>
  </si>
  <si>
    <r>
      <rPr>
        <b val="true"/>
        <sz val="10"/>
        <color rgb="FFFFFFFF"/>
        <rFont val="WenQuanYi Zen Hei"/>
        <family val="2"/>
      </rPr>
      <t xml:space="preserve">親タスク</t>
    </r>
    <r>
      <rPr>
        <b val="true"/>
        <sz val="10"/>
        <color rgb="FFFFFFFF"/>
        <rFont val="Arial"/>
        <family val="0"/>
        <charset val="1"/>
      </rPr>
      <t xml:space="preserve">ID
(</t>
    </r>
    <r>
      <rPr>
        <b val="true"/>
        <sz val="10"/>
        <color rgb="FFFFFFFF"/>
        <rFont val="WenQuanYi Zen Hei"/>
        <family val="2"/>
      </rPr>
      <t xml:space="preserve">サブタスク用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</si>
  <si>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タスク名</t>
  </si>
  <si>
    <t xml:space="preserve">マイルストーン</t>
  </si>
  <si>
    <t xml:space="preserve">担当者</t>
  </si>
  <si>
    <r>
      <rPr>
        <b val="true"/>
        <sz val="10"/>
        <color rgb="FFFFFFFF"/>
        <rFont val="WenQuanYi Zen Hei"/>
        <family val="2"/>
      </rPr>
      <t xml:space="preserve">先行
タスク</t>
    </r>
    <r>
      <rPr>
        <b val="true"/>
        <sz val="10"/>
        <color rgb="FFFFFFFF"/>
        <rFont val="Arial"/>
        <family val="0"/>
        <charset val="1"/>
      </rPr>
      <t xml:space="preserve">1</t>
    </r>
  </si>
  <si>
    <r>
      <rPr>
        <b val="true"/>
        <sz val="10"/>
        <color rgb="FFFFFFFF"/>
        <rFont val="WenQuanYi Zen Hei"/>
        <family val="2"/>
      </rPr>
      <t xml:space="preserve">先行
タスク</t>
    </r>
    <r>
      <rPr>
        <b val="true"/>
        <sz val="10"/>
        <color rgb="FFFFFFFF"/>
        <rFont val="Arial"/>
        <family val="0"/>
        <charset val="1"/>
      </rPr>
      <t xml:space="preserve">2</t>
    </r>
  </si>
  <si>
    <r>
      <rPr>
        <b val="true"/>
        <sz val="10"/>
        <color rgb="FFFFFFFF"/>
        <rFont val="WenQuanYi Zen Hei"/>
        <family val="2"/>
      </rPr>
      <t xml:space="preserve">先行
タスク</t>
    </r>
    <r>
      <rPr>
        <b val="true"/>
        <sz val="10"/>
        <color rgb="FFFFFFFF"/>
        <rFont val="Arial"/>
        <family val="0"/>
        <charset val="1"/>
      </rPr>
      <t xml:space="preserve">3</t>
    </r>
  </si>
  <si>
    <r>
      <rPr>
        <b val="true"/>
        <sz val="10"/>
        <color rgb="FFFFFFFF"/>
        <rFont val="WenQuanYi Zen Hei"/>
        <family val="2"/>
      </rPr>
      <t xml:space="preserve">所要日数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営業日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</si>
  <si>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計画開始日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自動計算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</si>
  <si>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計画終了日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自動計算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</si>
  <si>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最遅開始日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自動計算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</si>
  <si>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最遅終了日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自動計算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</si>
  <si>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余裕日数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自動計算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</si>
  <si>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クリティカル
パス</t>
  </si>
  <si>
    <r>
      <rPr>
        <b val="true"/>
        <sz val="10"/>
        <color rgb="FFFFFFFF"/>
        <rFont val="WenQuanYi Zen Hei"/>
        <family val="2"/>
      </rPr>
      <t xml:space="preserve">ブロック要因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自動計算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</si>
  <si>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残タスク
</t>
    </r>
    <r>
      <rPr>
        <b val="true"/>
        <sz val="10"/>
        <color rgb="FFFFFFFF"/>
        <rFont val="Arial"/>
        <family val="0"/>
        <charset val="1"/>
      </rPr>
      <t xml:space="preserve">(1/0)</t>
    </r>
  </si>
  <si>
    <t xml:space="preserve">要件ヒアリング</t>
  </si>
  <si>
    <t xml:space="preserve">完了</t>
  </si>
  <si>
    <t xml:space="preserve">要件定義書作成</t>
  </si>
  <si>
    <t xml:space="preserve">要件レビュー</t>
  </si>
  <si>
    <t xml:space="preserve">進行中</t>
  </si>
  <si>
    <t xml:space="preserve">画面設計</t>
  </si>
  <si>
    <t xml:space="preserve">未着手</t>
  </si>
  <si>
    <r>
      <rPr>
        <sz val="10"/>
        <color rgb="FF0000FF"/>
        <rFont val="Arial"/>
        <family val="0"/>
        <charset val="1"/>
      </rPr>
      <t xml:space="preserve">DB</t>
    </r>
    <r>
      <rPr>
        <sz val="10"/>
        <color rgb="FF0000FF"/>
        <rFont val="WenQuanYi Zen Hei"/>
        <family val="2"/>
      </rPr>
      <t xml:space="preserve">設計</t>
    </r>
  </si>
  <si>
    <r>
      <rPr>
        <sz val="10"/>
        <color rgb="FF0000FF"/>
        <rFont val="Arial"/>
        <family val="0"/>
        <charset val="1"/>
      </rPr>
      <t xml:space="preserve">API</t>
    </r>
    <r>
      <rPr>
        <sz val="10"/>
        <color rgb="FF0000FF"/>
        <rFont val="WenQuanYi Zen Hei"/>
        <family val="2"/>
      </rPr>
      <t xml:space="preserve">設計</t>
    </r>
  </si>
  <si>
    <t xml:space="preserve">設計レビュー</t>
  </si>
  <si>
    <t xml:space="preserve">実装</t>
  </si>
  <si>
    <r>
      <rPr>
        <sz val="10"/>
        <color rgb="FF0000FF"/>
        <rFont val="WenQuanYi Zen Hei"/>
        <family val="2"/>
      </rPr>
      <t xml:space="preserve">実装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画面</t>
    </r>
    <r>
      <rPr>
        <sz val="10"/>
        <color rgb="FF0000FF"/>
        <rFont val="Arial"/>
        <family val="0"/>
        <charset val="1"/>
      </rPr>
      <t xml:space="preserve">)</t>
    </r>
  </si>
  <si>
    <t xml:space="preserve">テスト</t>
  </si>
  <si>
    <t xml:space="preserve">リリース判定</t>
  </si>
  <si>
    <t xml:space="preserve">■ 担当者別サマリ</t>
  </si>
  <si>
    <t xml:space="preserve">残タスク数</t>
  </si>
  <si>
    <t xml:space="preserve">遅延タスク数</t>
  </si>
  <si>
    <t xml:space="preserve">クリティカル
残タスク数</t>
  </si>
  <si>
    <t xml:space="preserve">■ マイルストーン別サマリ</t>
  </si>
  <si>
    <t xml:space="preserve">全タスク数</t>
  </si>
  <si>
    <t xml:space="preserve">進捗率</t>
  </si>
  <si>
    <t xml:space="preserve">■ プロジェクト全体サマリ</t>
  </si>
  <si>
    <t xml:space="preserve">総タスク数</t>
  </si>
  <si>
    <t xml:space="preserve">クリティカル残タスク数</t>
  </si>
  <si>
    <t xml:space="preserve">プロジェクト終了予定日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</si>
</sst>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"/>
    <numFmt numFmtId="167" formatCode="General"/>
    <numFmt numFmtId="168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sz val="10"/>
      <color rgb="FF000000"/>
      <name val="Arial"/>
      <family val="0"/>
      <charset val="1"/>
    </font>
    <font>
      <b val="true"/>
      <sz val="10"/>
      <name val="WenQuanYi Zen Hei"/>
      <family val="2"/>
    </font>
    <font>
      <sz val="10"/>
      <color rgb="FF000000"/>
      <name val="WenQuanYi Zen Hei"/>
      <family val="2"/>
    </font>
    <font>
      <b val="true"/>
      <sz val="11"/>
      <color rgb="FF305496"/>
      <name val="WenQuanYi Zen Hei"/>
      <family val="2"/>
    </font>
    <font>
      <b val="true"/>
      <sz val="10"/>
      <name val="Arial"/>
      <family val="0"/>
      <charset val="1"/>
    </font>
    <font>
      <b val="true"/>
      <sz val="11"/>
      <color rgb="FF305496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WenQuanYi Zen Hei"/>
      <family val="2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sz val="10"/>
      <color rgb="FF0000FF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05496"/>
        <bgColor rgb="FF0066CC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30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B3" s="3" t="s">
        <v>1</v>
      </c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2"/>
    </row>
    <row r="8" customFormat="false" ht="15" hidden="false" customHeight="false" outlineLevel="0" collapsed="false">
      <c r="B8" s="5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3" t="s">
        <v>13</v>
      </c>
    </row>
    <row r="18" customFormat="false" ht="1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2"/>
    </row>
    <row r="21" customFormat="false" ht="15" hidden="false" customHeight="false" outlineLevel="0" collapsed="false">
      <c r="B21" s="5" t="s">
        <v>15</v>
      </c>
    </row>
    <row r="22" customFormat="false" ht="15" hidden="false" customHeight="false" outlineLevel="0" collapsed="false">
      <c r="B22" s="6" t="s">
        <v>16</v>
      </c>
    </row>
    <row r="23" customFormat="false" ht="15" hidden="false" customHeight="false" outlineLevel="0" collapsed="false">
      <c r="B23" s="4" t="s">
        <v>17</v>
      </c>
    </row>
    <row r="24" customFormat="false" ht="15" hidden="false" customHeight="false" outlineLevel="0" collapsed="false">
      <c r="B24" s="3" t="s">
        <v>18</v>
      </c>
    </row>
    <row r="25" customFormat="false" ht="39.55" hidden="false" customHeight="false" outlineLevel="0" collapsed="false">
      <c r="B25" s="4" t="s">
        <v>19</v>
      </c>
    </row>
    <row r="26" customFormat="false" ht="15" hidden="false" customHeight="false" outlineLevel="0" collapsed="false">
      <c r="B26" s="3" t="s">
        <v>20</v>
      </c>
    </row>
    <row r="27" customFormat="false" ht="26.85" hidden="false" customHeight="false" outlineLevel="0" collapsed="false">
      <c r="B27" s="4" t="s">
        <v>21</v>
      </c>
    </row>
    <row r="28" customFormat="false" ht="15" hidden="false" customHeight="false" outlineLevel="0" collapsed="false">
      <c r="B28" s="3" t="s">
        <v>22</v>
      </c>
    </row>
    <row r="29" customFormat="false" ht="15" hidden="false" customHeight="false" outlineLevel="0" collapsed="false">
      <c r="B29" s="4" t="s">
        <v>23</v>
      </c>
    </row>
    <row r="30" customFormat="false" ht="15" hidden="false" customHeight="false" outlineLevel="0" collapsed="false">
      <c r="B30" s="3" t="s">
        <v>24</v>
      </c>
    </row>
    <row r="31" customFormat="false" ht="15" hidden="false" customHeight="false" outlineLevel="0" collapsed="false">
      <c r="B31" s="4" t="s">
        <v>25</v>
      </c>
    </row>
    <row r="32" customFormat="false" ht="15" hidden="false" customHeight="false" outlineLevel="0" collapsed="false">
      <c r="B32" s="2"/>
    </row>
    <row r="34" customFormat="false" ht="15" hidden="false" customHeight="false" outlineLevel="0" collapsed="false">
      <c r="B34" s="5" t="s">
        <v>26</v>
      </c>
    </row>
    <row r="35" customFormat="false" ht="15" hidden="false" customHeight="false" outlineLevel="0" collapsed="false">
      <c r="B35" s="3" t="s">
        <v>27</v>
      </c>
    </row>
    <row r="36" customFormat="false" ht="15" hidden="false" customHeight="false" outlineLevel="0" collapsed="false">
      <c r="B36" s="4" t="s">
        <v>28</v>
      </c>
    </row>
    <row r="37" customFormat="false" ht="15" hidden="false" customHeight="false" outlineLevel="0" collapsed="false">
      <c r="B37" s="3" t="s">
        <v>29</v>
      </c>
    </row>
    <row r="38" customFormat="false" ht="15" hidden="false" customHeight="false" outlineLevel="0" collapsed="false">
      <c r="B38" s="4" t="s">
        <v>30</v>
      </c>
    </row>
    <row r="39" customFormat="false" ht="15" hidden="false" customHeight="false" outlineLevel="0" collapsed="false">
      <c r="B39" s="3" t="s">
        <v>31</v>
      </c>
    </row>
    <row r="40" customFormat="false" ht="15" hidden="false" customHeight="false" outlineLevel="0" collapsed="false">
      <c r="B40" s="4" t="s">
        <v>32</v>
      </c>
    </row>
    <row r="41" customFormat="false" ht="15" hidden="false" customHeight="false" outlineLevel="0" collapsed="false">
      <c r="B41" s="3" t="s">
        <v>33</v>
      </c>
    </row>
    <row r="42" customFormat="false" ht="15" hidden="false" customHeight="false" outlineLevel="0" collapsed="false">
      <c r="B42" s="4" t="s">
        <v>34</v>
      </c>
    </row>
    <row r="43" customFormat="false" ht="15" hidden="false" customHeight="false" outlineLevel="0" collapsed="false">
      <c r="B43" s="3" t="s">
        <v>35</v>
      </c>
    </row>
    <row r="44" customFormat="false" ht="15" hidden="false" customHeight="false" outlineLevel="0" collapsed="false">
      <c r="B44" s="4" t="s">
        <v>36</v>
      </c>
    </row>
    <row r="45" customFormat="false" ht="15" hidden="false" customHeight="false" outlineLevel="0" collapsed="false">
      <c r="B45" s="3" t="s">
        <v>37</v>
      </c>
    </row>
    <row r="46" customFormat="false" ht="15" hidden="false" customHeight="false" outlineLevel="0" collapsed="false">
      <c r="B46" s="4" t="s">
        <v>38</v>
      </c>
    </row>
    <row r="47" customFormat="false" ht="15" hidden="false" customHeight="false" outlineLevel="0" collapsed="false">
      <c r="B47" s="2"/>
    </row>
    <row r="49" customFormat="false" ht="15" hidden="false" customHeight="false" outlineLevel="0" collapsed="false">
      <c r="B49" s="5" t="s">
        <v>39</v>
      </c>
    </row>
    <row r="50" customFormat="false" ht="26.85" hidden="false" customHeight="false" outlineLevel="0" collapsed="false">
      <c r="B50" s="2" t="s">
        <v>40</v>
      </c>
    </row>
    <row r="51" customFormat="false" ht="26.85" hidden="false" customHeight="false" outlineLevel="0" collapsed="false">
      <c r="B51" s="4" t="s">
        <v>41</v>
      </c>
    </row>
    <row r="52" customFormat="false" ht="26.85" hidden="false" customHeight="false" outlineLevel="0" collapsed="false">
      <c r="B52" s="4" t="s">
        <v>42</v>
      </c>
    </row>
    <row r="53" customFormat="false" ht="15" hidden="false" customHeight="false" outlineLevel="0" collapsed="false">
      <c r="B53" s="4" t="s">
        <v>43</v>
      </c>
    </row>
    <row r="54" customFormat="false" ht="15" hidden="false" customHeight="false" outlineLevel="0" collapsed="false">
      <c r="B54" s="2"/>
    </row>
    <row r="56" customFormat="false" ht="15" hidden="false" customHeight="false" outlineLevel="0" collapsed="false">
      <c r="B56" s="5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3" t="s">
        <v>46</v>
      </c>
      <c r="B2" s="7" t="n">
        <v>46237</v>
      </c>
      <c r="C2" s="8" t="s">
        <v>47</v>
      </c>
    </row>
    <row r="3" customFormat="false" ht="14.15" hidden="false" customHeight="false" outlineLevel="0" collapsed="false">
      <c r="A3" s="3" t="s">
        <v>48</v>
      </c>
      <c r="B3" s="9" t="n">
        <f aca="false">IFERROR(MAX(タスク一覧!$L$3:$L$102),"")</f>
        <v>46280</v>
      </c>
      <c r="C3" s="8" t="s">
        <v>49</v>
      </c>
    </row>
    <row r="4" customFormat="false" ht="15" hidden="false" customHeight="false" outlineLevel="0" collapsed="false">
      <c r="A4" s="3" t="s">
        <v>50</v>
      </c>
      <c r="B4" s="9" t="n">
        <f aca="true">TODAY()</f>
        <v>46227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7</v>
      </c>
    </row>
    <row r="2" customFormat="false" ht="15" hidden="false" customHeight="false" outlineLevel="0" collapsed="false">
      <c r="A2" s="10" t="s">
        <v>16</v>
      </c>
      <c r="B2" s="11" t="s">
        <v>51</v>
      </c>
      <c r="C2" s="11" t="s">
        <v>52</v>
      </c>
      <c r="D2" s="11" t="s">
        <v>53</v>
      </c>
    </row>
    <row r="3" customFormat="false" ht="15" hidden="false" customHeight="false" outlineLevel="0" collapsed="false">
      <c r="A3" s="12" t="s">
        <v>54</v>
      </c>
      <c r="B3" s="13" t="s">
        <v>55</v>
      </c>
      <c r="C3" s="14" t="n">
        <v>46248</v>
      </c>
      <c r="D3" s="15" t="s">
        <v>56</v>
      </c>
    </row>
    <row r="4" customFormat="false" ht="15" hidden="false" customHeight="false" outlineLevel="0" collapsed="false">
      <c r="A4" s="12" t="s">
        <v>57</v>
      </c>
      <c r="B4" s="13" t="s">
        <v>58</v>
      </c>
      <c r="C4" s="14" t="n">
        <v>46276</v>
      </c>
      <c r="D4" s="15" t="s">
        <v>56</v>
      </c>
    </row>
    <row r="5" customFormat="false" ht="15" hidden="false" customHeight="false" outlineLevel="0" collapsed="false">
      <c r="A5" s="12" t="s">
        <v>59</v>
      </c>
      <c r="B5" s="13" t="s">
        <v>60</v>
      </c>
      <c r="C5" s="14" t="n">
        <v>46304</v>
      </c>
      <c r="D5" s="15" t="s">
        <v>56</v>
      </c>
    </row>
    <row r="6" customFormat="false" ht="15" hidden="false" customHeight="false" outlineLevel="0" collapsed="false">
      <c r="A6" s="16"/>
      <c r="B6" s="16"/>
      <c r="C6" s="16"/>
      <c r="D6" s="16"/>
    </row>
    <row r="7" customFormat="false" ht="15" hidden="false" customHeight="false" outlineLevel="0" collapsed="false">
      <c r="A7" s="16"/>
      <c r="B7" s="16"/>
      <c r="C7" s="16"/>
      <c r="D7" s="16"/>
    </row>
    <row r="8" customFormat="false" ht="15" hidden="false" customHeight="false" outlineLevel="0" collapsed="false">
      <c r="A8" s="16"/>
      <c r="B8" s="16"/>
      <c r="C8" s="16"/>
      <c r="D8" s="16"/>
    </row>
    <row r="9" customFormat="false" ht="15" hidden="false" customHeight="false" outlineLevel="0" collapsed="false">
      <c r="A9" s="16"/>
      <c r="B9" s="16"/>
      <c r="C9" s="16"/>
      <c r="D9" s="16"/>
    </row>
    <row r="10" customFormat="false" ht="15" hidden="false" customHeight="false" outlineLevel="0" collapsed="false">
      <c r="A10" s="16"/>
      <c r="B10" s="16"/>
      <c r="C10" s="16"/>
      <c r="D10" s="16"/>
    </row>
    <row r="11" customFormat="false" ht="15" hidden="false" customHeight="false" outlineLevel="0" collapsed="false">
      <c r="A11" s="16"/>
      <c r="B11" s="16"/>
      <c r="C11" s="16"/>
      <c r="D11" s="16"/>
    </row>
    <row r="12" customFormat="false" ht="15" hidden="false" customHeight="false" outlineLevel="0" collapsed="false">
      <c r="A12" s="16"/>
      <c r="B12" s="16"/>
      <c r="C12" s="16"/>
      <c r="D12" s="16"/>
    </row>
    <row r="15" customFormat="false" ht="15" hidden="false" customHeight="false" outlineLevel="0" collapsed="false">
      <c r="A15" s="17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1" t="s">
        <v>9</v>
      </c>
    </row>
    <row r="2" customFormat="false" ht="15" hidden="false" customHeight="false" outlineLevel="0" collapsed="false">
      <c r="A2" s="10" t="s">
        <v>16</v>
      </c>
      <c r="B2" s="11" t="s">
        <v>62</v>
      </c>
      <c r="C2" s="11" t="s">
        <v>53</v>
      </c>
    </row>
    <row r="3" customFormat="false" ht="15" hidden="false" customHeight="false" outlineLevel="0" collapsed="false">
      <c r="A3" s="12" t="s">
        <v>63</v>
      </c>
      <c r="B3" s="13" t="s">
        <v>64</v>
      </c>
      <c r="C3" s="15" t="s">
        <v>65</v>
      </c>
    </row>
    <row r="4" customFormat="false" ht="15" hidden="false" customHeight="false" outlineLevel="0" collapsed="false">
      <c r="A4" s="12" t="s">
        <v>66</v>
      </c>
      <c r="B4" s="13" t="s">
        <v>67</v>
      </c>
      <c r="C4" s="15" t="s">
        <v>65</v>
      </c>
    </row>
    <row r="5" customFormat="false" ht="15" hidden="false" customHeight="false" outlineLevel="0" collapsed="false">
      <c r="A5" s="12" t="s">
        <v>68</v>
      </c>
      <c r="B5" s="13" t="s">
        <v>69</v>
      </c>
      <c r="C5" s="15" t="s">
        <v>65</v>
      </c>
    </row>
    <row r="6" customFormat="false" ht="15" hidden="false" customHeight="false" outlineLevel="0" collapsed="false">
      <c r="A6" s="16"/>
      <c r="B6" s="16"/>
      <c r="C6" s="16"/>
    </row>
    <row r="7" customFormat="false" ht="15" hidden="false" customHeight="false" outlineLevel="0" collapsed="false">
      <c r="A7" s="16"/>
      <c r="B7" s="16"/>
      <c r="C7" s="16"/>
    </row>
    <row r="8" customFormat="false" ht="15" hidden="false" customHeight="false" outlineLevel="0" collapsed="false">
      <c r="A8" s="16"/>
      <c r="B8" s="16"/>
      <c r="C8" s="16"/>
    </row>
    <row r="9" customFormat="false" ht="15" hidden="false" customHeight="false" outlineLevel="0" collapsed="false">
      <c r="A9" s="16"/>
      <c r="B9" s="16"/>
      <c r="C9" s="16"/>
    </row>
    <row r="10" customFormat="false" ht="15" hidden="false" customHeight="false" outlineLevel="0" collapsed="false">
      <c r="A10" s="16"/>
      <c r="B10" s="16"/>
      <c r="C10" s="16"/>
    </row>
    <row r="11" customFormat="false" ht="15" hidden="false" customHeight="false" outlineLevel="0" collapsed="false">
      <c r="A11" s="16"/>
      <c r="B11" s="16"/>
      <c r="C11" s="16"/>
    </row>
    <row r="12" customFormat="false" ht="15" hidden="false" customHeight="false" outlineLevel="0" collapsed="false">
      <c r="A12" s="16"/>
      <c r="B12" s="16"/>
      <c r="C12" s="16"/>
    </row>
    <row r="15" customFormat="false" ht="15" hidden="false" customHeight="false" outlineLevel="0" collapsed="false">
      <c r="A15" s="17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8" min="6" style="0" width="8"/>
    <col collapsed="false" customWidth="true" hidden="false" outlineLevel="0" max="10" min="9" style="0" width="10"/>
    <col collapsed="false" customWidth="true" hidden="false" outlineLevel="0" max="14" min="11" style="0" width="12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8"/>
    <col collapsed="false" customWidth="true" hidden="false" outlineLevel="0" max="18" min="18" style="0" width="24"/>
    <col collapsed="false" customWidth="true" hidden="false" outlineLevel="0" max="19" min="19" style="0" width="8"/>
  </cols>
  <sheetData>
    <row r="1" customFormat="false" ht="17.35" hidden="false" customHeight="false" outlineLevel="0" collapsed="false">
      <c r="A1" s="1" t="s">
        <v>11</v>
      </c>
    </row>
    <row r="2" customFormat="false" ht="42" hidden="false" customHeight="true" outlineLevel="0" collapsed="false">
      <c r="A2" s="10" t="s">
        <v>16</v>
      </c>
      <c r="B2" s="11" t="s">
        <v>71</v>
      </c>
      <c r="C2" s="11" t="s">
        <v>72</v>
      </c>
      <c r="D2" s="11" t="s">
        <v>73</v>
      </c>
      <c r="E2" s="11" t="s">
        <v>74</v>
      </c>
      <c r="F2" s="11" t="s">
        <v>75</v>
      </c>
      <c r="G2" s="11" t="s">
        <v>76</v>
      </c>
      <c r="H2" s="11" t="s">
        <v>77</v>
      </c>
      <c r="I2" s="11" t="s">
        <v>78</v>
      </c>
      <c r="J2" s="11" t="s">
        <v>24</v>
      </c>
      <c r="K2" s="11" t="s">
        <v>79</v>
      </c>
      <c r="L2" s="11" t="s">
        <v>80</v>
      </c>
      <c r="M2" s="11" t="s">
        <v>81</v>
      </c>
      <c r="N2" s="11" t="s">
        <v>82</v>
      </c>
      <c r="O2" s="11" t="s">
        <v>83</v>
      </c>
      <c r="P2" s="11" t="s">
        <v>84</v>
      </c>
      <c r="Q2" s="11" t="s">
        <v>35</v>
      </c>
      <c r="R2" s="11" t="s">
        <v>85</v>
      </c>
      <c r="S2" s="11" t="s">
        <v>86</v>
      </c>
    </row>
    <row r="3" customFormat="false" ht="15" hidden="false" customHeight="false" outlineLevel="0" collapsed="false">
      <c r="A3" s="12" t="n">
        <v>1</v>
      </c>
      <c r="B3" s="12"/>
      <c r="C3" s="13" t="s">
        <v>87</v>
      </c>
      <c r="D3" s="13" t="s">
        <v>55</v>
      </c>
      <c r="E3" s="13" t="s">
        <v>64</v>
      </c>
      <c r="F3" s="12"/>
      <c r="G3" s="12"/>
      <c r="H3" s="12"/>
      <c r="I3" s="18" t="n">
        <v>3</v>
      </c>
      <c r="J3" s="13" t="s">
        <v>88</v>
      </c>
      <c r="K3" s="19" t="n">
        <f aca="false">IF($A3="","",設定!$B$2)</f>
        <v>46237</v>
      </c>
      <c r="L3" s="19" t="n">
        <f aca="false">IF($A3="","",WORKDAY($K3,$I3-1))</f>
        <v>46239</v>
      </c>
      <c r="M3" s="19" t="n">
        <f aca="false">IF($A3="","",WORKDAY($N3,-($I3-1)))</f>
        <v>46237</v>
      </c>
      <c r="N3" s="19" t="n">
        <f aca="false">IF($A3="","",IF(COUNTIF($F$4:$F$102,$A3)+COUNTIF($G$4:$G$102,$A3)+COUNTIF($H$4:$H$102,$A3)=0,設定!$B$3,MIN(IF(COUNTIF($F$4:$F$102,$A3)=0,999999,IFERROR(WORKDAY(_xlfn.MINIFS($M$4:$M$102,$F$4:$F$102,$A3),-1),999999)),IF(COUNTIF($G$4:$G$102,$A3)=0,999999,IFERROR(WORKDAY(_xlfn.MINIFS($M$4:$M$102,$G$4:$G$102,$A3),-1),999999)),IF(COUNTIF($H$4:$H$102,$A3)=0,999999,IFERROR(WORKDAY(_xlfn.MINIFS($M$4:$M$102,$H$4:$H$102,$A3),-1),999999)))))</f>
        <v>46239</v>
      </c>
      <c r="O3" s="20" t="n">
        <f aca="false">IF($A3="","",NETWORKDAYS($K3,$M3)-1)</f>
        <v>0</v>
      </c>
      <c r="P3" s="20" t="str">
        <f aca="false">IF($A3="","",IF($O3&lt;=0,"クリティカル",""))</f>
        <v>クリティカル</v>
      </c>
      <c r="Q3" s="20" t="str">
        <f aca="true">IF($A3="","",IF(AND($J3&lt;&gt;"完了",TODAY()&gt;$L3),"遅延",""))</f>
        <v/>
      </c>
      <c r="R3" s="20" t="str">
        <f aca="false">IF($A3="","",_xlfn.TEXTJOIN(", ",TRUE(),IF($F3="","",IF(IFERROR(INDEX($J$3:$J$102,MATCH($F3,$A$3:$A$102,0)),"")&lt;&gt;"完了",IFERROR(INDEX($C$3:$C$102,MATCH($F3,$A$3:$A$102,0)),""),"")),IF($G3="","",IF(IFERROR(INDEX($J$3:$J$102,MATCH($G3,$A$3:$A$102,0)),"")&lt;&gt;"完了",IFERROR(INDEX($C$3:$C$102,MATCH($G3,$A$3:$A$102,0)),""),"")),IF($H3="","",IF(IFERROR(INDEX($J$3:$J$102,MATCH($H3,$A$3:$A$102,0)),"")&lt;&gt;"完了",IFERROR(INDEX($C$3:$C$102,MATCH($H3,$A$3:$A$102,0)),""),""))))</f>
        <v/>
      </c>
      <c r="S3" s="20" t="n">
        <f aca="false">IF($A3="","",IF($J3&lt;&gt;"完了",1,0))</f>
        <v>0</v>
      </c>
    </row>
    <row r="4" customFormat="false" ht="15" hidden="false" customHeight="false" outlineLevel="0" collapsed="false">
      <c r="A4" s="12" t="n">
        <v>2</v>
      </c>
      <c r="B4" s="12"/>
      <c r="C4" s="13" t="s">
        <v>89</v>
      </c>
      <c r="D4" s="13" t="s">
        <v>55</v>
      </c>
      <c r="E4" s="13" t="s">
        <v>64</v>
      </c>
      <c r="F4" s="12" t="n">
        <v>1</v>
      </c>
      <c r="G4" s="12"/>
      <c r="H4" s="12"/>
      <c r="I4" s="18" t="n">
        <v>4</v>
      </c>
      <c r="J4" s="13" t="s">
        <v>88</v>
      </c>
      <c r="K4" s="19" t="n">
        <f aca="false">IF($A4="","",IF(AND($F4="",$G4="",$H4=""),設定!$B$2,MAX(IF($F4="",0,IFERROR(WORKDAY(INDEX($L$3:$L$3,MATCH($F4,$A$3:$A$3,0)),1),0)),IF($G4="",0,IFERROR(WORKDAY(INDEX($L$3:$L$3,MATCH($G4,$A$3:$A$3,0)),1),0)),IF($H4="",0,IFERROR(WORKDAY(INDEX($L$3:$L$3,MATCH($H4,$A$3:$A$3,0)),1),0)))))</f>
        <v>46240</v>
      </c>
      <c r="L4" s="19" t="n">
        <f aca="false">IF($A4="","",WORKDAY($K4,$I4-1))</f>
        <v>46245</v>
      </c>
      <c r="M4" s="19" t="n">
        <f aca="false">IF($A4="","",WORKDAY($N4,-($I4-1)))</f>
        <v>46240</v>
      </c>
      <c r="N4" s="19" t="n">
        <f aca="false">IF($A4="","",IF(COUNTIF($F$5:$F$102,$A4)+COUNTIF($G$5:$G$102,$A4)+COUNTIF($H$5:$H$102,$A4)=0,設定!$B$3,MIN(IF(COUNTIF($F$5:$F$102,$A4)=0,999999,IFERROR(WORKDAY(_xlfn.MINIFS($M$5:$M$102,$F$5:$F$102,$A4),-1),999999)),IF(COUNTIF($G$5:$G$102,$A4)=0,999999,IFERROR(WORKDAY(_xlfn.MINIFS($M$5:$M$102,$G$5:$G$102,$A4),-1),999999)),IF(COUNTIF($H$5:$H$102,$A4)=0,999999,IFERROR(WORKDAY(_xlfn.MINIFS($M$5:$M$102,$H$5:$H$102,$A4),-1),999999)))))</f>
        <v>46245</v>
      </c>
      <c r="O4" s="20" t="n">
        <f aca="false">IF($A4="","",NETWORKDAYS($K4,$M4)-1)</f>
        <v>0</v>
      </c>
      <c r="P4" s="20" t="str">
        <f aca="false">IF($A4="","",IF($O4&lt;=0,"クリティカル",""))</f>
        <v>クリティカル</v>
      </c>
      <c r="Q4" s="20" t="str">
        <f aca="true">IF($A4="","",IF(AND($J4&lt;&gt;"完了",TODAY()&gt;$L4),"遅延",""))</f>
        <v/>
      </c>
      <c r="R4" s="20" t="str">
        <f aca="false">IF($A4="","",_xlfn.TEXTJOIN(", ",TRUE(),IF($F4="","",IF(IFERROR(INDEX($J$3:$J$102,MATCH($F4,$A$3:$A$102,0)),"")&lt;&gt;"完了",IFERROR(INDEX($C$3:$C$102,MATCH($F4,$A$3:$A$102,0)),""),"")),IF($G4="","",IF(IFERROR(INDEX($J$3:$J$102,MATCH($G4,$A$3:$A$102,0)),"")&lt;&gt;"完了",IFERROR(INDEX($C$3:$C$102,MATCH($G4,$A$3:$A$102,0)),""),"")),IF($H4="","",IF(IFERROR(INDEX($J$3:$J$102,MATCH($H4,$A$3:$A$102,0)),"")&lt;&gt;"完了",IFERROR(INDEX($C$3:$C$102,MATCH($H4,$A$3:$A$102,0)),""),""))))</f>
        <v/>
      </c>
      <c r="S4" s="20" t="n">
        <f aca="false">IF($A4="","",IF($J4&lt;&gt;"完了",1,0))</f>
        <v>0</v>
      </c>
    </row>
    <row r="5" customFormat="false" ht="15" hidden="false" customHeight="false" outlineLevel="0" collapsed="false">
      <c r="A5" s="12" t="n">
        <v>3</v>
      </c>
      <c r="B5" s="12"/>
      <c r="C5" s="13" t="s">
        <v>90</v>
      </c>
      <c r="D5" s="13" t="s">
        <v>55</v>
      </c>
      <c r="E5" s="13" t="s">
        <v>67</v>
      </c>
      <c r="F5" s="12" t="n">
        <v>2</v>
      </c>
      <c r="G5" s="12"/>
      <c r="H5" s="12"/>
      <c r="I5" s="18" t="n">
        <v>2</v>
      </c>
      <c r="J5" s="13" t="s">
        <v>91</v>
      </c>
      <c r="K5" s="19" t="n">
        <f aca="false">IF($A5="","",IF(AND($F5="",$G5="",$H5=""),設定!$B$2,MAX(IF($F5="",0,IFERROR(WORKDAY(INDEX($L$3:$L$4,MATCH($F5,$A$3:$A$4,0)),1),0)),IF($G5="",0,IFERROR(WORKDAY(INDEX($L$3:$L$4,MATCH($G5,$A$3:$A$4,0)),1),0)),IF($H5="",0,IFERROR(WORKDAY(INDEX($L$3:$L$4,MATCH($H5,$A$3:$A$4,0)),1),0)))))</f>
        <v>46246</v>
      </c>
      <c r="L5" s="19" t="n">
        <f aca="false">IF($A5="","",WORKDAY($K5,$I5-1))</f>
        <v>46247</v>
      </c>
      <c r="M5" s="19" t="n">
        <f aca="false">IF($A5="","",WORKDAY($N5,-($I5-1)))</f>
        <v>46246</v>
      </c>
      <c r="N5" s="19" t="n">
        <f aca="false">IF($A5="","",IF(COUNTIF($F$6:$F$102,$A5)+COUNTIF($G$6:$G$102,$A5)+COUNTIF($H$6:$H$102,$A5)=0,設定!$B$3,MIN(IF(COUNTIF($F$6:$F$102,$A5)=0,999999,IFERROR(WORKDAY(_xlfn.MINIFS($M$6:$M$102,$F$6:$F$102,$A5),-1),999999)),IF(COUNTIF($G$6:$G$102,$A5)=0,999999,IFERROR(WORKDAY(_xlfn.MINIFS($M$6:$M$102,$G$6:$G$102,$A5),-1),999999)),IF(COUNTIF($H$6:$H$102,$A5)=0,999999,IFERROR(WORKDAY(_xlfn.MINIFS($M$6:$M$102,$H$6:$H$102,$A5),-1),999999)))))</f>
        <v>46247</v>
      </c>
      <c r="O5" s="20" t="n">
        <f aca="false">IF($A5="","",NETWORKDAYS($K5,$M5)-1)</f>
        <v>0</v>
      </c>
      <c r="P5" s="20" t="str">
        <f aca="false">IF($A5="","",IF($O5&lt;=0,"クリティカル",""))</f>
        <v>クリティカル</v>
      </c>
      <c r="Q5" s="20" t="str">
        <f aca="true">IF($A5="","",IF(AND($J5&lt;&gt;"完了",TODAY()&gt;$L5),"遅延",""))</f>
        <v/>
      </c>
      <c r="R5" s="20" t="str">
        <f aca="false">IF($A5="","",_xlfn.TEXTJOIN(", ",TRUE(),IF($F5="","",IF(IFERROR(INDEX($J$3:$J$102,MATCH($F5,$A$3:$A$102,0)),"")&lt;&gt;"完了",IFERROR(INDEX($C$3:$C$102,MATCH($F5,$A$3:$A$102,0)),""),"")),IF($G5="","",IF(IFERROR(INDEX($J$3:$J$102,MATCH($G5,$A$3:$A$102,0)),"")&lt;&gt;"完了",IFERROR(INDEX($C$3:$C$102,MATCH($G5,$A$3:$A$102,0)),""),"")),IF($H5="","",IF(IFERROR(INDEX($J$3:$J$102,MATCH($H5,$A$3:$A$102,0)),"")&lt;&gt;"完了",IFERROR(INDEX($C$3:$C$102,MATCH($H5,$A$3:$A$102,0)),""),""))))</f>
        <v/>
      </c>
      <c r="S5" s="20" t="n">
        <f aca="false">IF($A5="","",IF($J5&lt;&gt;"完了",1,0))</f>
        <v>1</v>
      </c>
    </row>
    <row r="6" customFormat="false" ht="15" hidden="false" customHeight="false" outlineLevel="0" collapsed="false">
      <c r="A6" s="12" t="n">
        <v>4</v>
      </c>
      <c r="B6" s="12"/>
      <c r="C6" s="13" t="s">
        <v>92</v>
      </c>
      <c r="D6" s="13" t="s">
        <v>58</v>
      </c>
      <c r="E6" s="13" t="s">
        <v>67</v>
      </c>
      <c r="F6" s="12" t="n">
        <v>3</v>
      </c>
      <c r="G6" s="12"/>
      <c r="H6" s="12"/>
      <c r="I6" s="18" t="n">
        <v>5</v>
      </c>
      <c r="J6" s="13" t="s">
        <v>93</v>
      </c>
      <c r="K6" s="19" t="n">
        <f aca="false">IF($A6="","",IF(AND($F6="",$G6="",$H6=""),設定!$B$2,MAX(IF($F6="",0,IFERROR(WORKDAY(INDEX($L$3:$L$5,MATCH($F6,$A$3:$A$5,0)),1),0)),IF($G6="",0,IFERROR(WORKDAY(INDEX($L$3:$L$5,MATCH($G6,$A$3:$A$5,0)),1),0)),IF($H6="",0,IFERROR(WORKDAY(INDEX($L$3:$L$5,MATCH($H6,$A$3:$A$5,0)),1),0)))))</f>
        <v>46248</v>
      </c>
      <c r="L6" s="19" t="n">
        <f aca="false">IF($A6="","",WORKDAY($K6,$I6-1))</f>
        <v>46254</v>
      </c>
      <c r="M6" s="19" t="n">
        <f aca="false">IF($A6="","",WORKDAY($N6,-($I6-1)))</f>
        <v>46253</v>
      </c>
      <c r="N6" s="19" t="n">
        <f aca="false">IF($A6="","",IF(COUNTIF($F$7:$F$102,$A6)+COUNTIF($G$7:$G$102,$A6)+COUNTIF($H$7:$H$102,$A6)=0,設定!$B$3,MIN(IF(COUNTIF($F$7:$F$102,$A6)=0,999999,IFERROR(WORKDAY(_xlfn.MINIFS($M$7:$M$102,$F$7:$F$102,$A6),-1),999999)),IF(COUNTIF($G$7:$G$102,$A6)=0,999999,IFERROR(WORKDAY(_xlfn.MINIFS($M$7:$M$102,$G$7:$G$102,$A6),-1),999999)),IF(COUNTIF($H$7:$H$102,$A6)=0,999999,IFERROR(WORKDAY(_xlfn.MINIFS($M$7:$M$102,$H$7:$H$102,$A6),-1),999999)))))</f>
        <v>46259</v>
      </c>
      <c r="O6" s="20" t="n">
        <f aca="false">IF($A6="","",NETWORKDAYS($K6,$M6)-1)</f>
        <v>3</v>
      </c>
      <c r="P6" s="20" t="str">
        <f aca="false">IF($A6="","",IF($O6&lt;=0,"クリティカル",""))</f>
        <v/>
      </c>
      <c r="Q6" s="20" t="str">
        <f aca="true">IF($A6="","",IF(AND($J6&lt;&gt;"完了",TODAY()&gt;$L6),"遅延",""))</f>
        <v/>
      </c>
      <c r="R6" s="20" t="str">
        <f aca="false">IF($A6="","",_xlfn.TEXTJOIN(", ",TRUE(),IF($F6="","",IF(IFERROR(INDEX($J$3:$J$102,MATCH($F6,$A$3:$A$102,0)),"")&lt;&gt;"完了",IFERROR(INDEX($C$3:$C$102,MATCH($F6,$A$3:$A$102,0)),""),"")),IF($G6="","",IF(IFERROR(INDEX($J$3:$J$102,MATCH($G6,$A$3:$A$102,0)),"")&lt;&gt;"完了",IFERROR(INDEX($C$3:$C$102,MATCH($G6,$A$3:$A$102,0)),""),"")),IF($H6="","",IF(IFERROR(INDEX($J$3:$J$102,MATCH($H6,$A$3:$A$102,0)),"")&lt;&gt;"完了",IFERROR(INDEX($C$3:$C$102,MATCH($H6,$A$3:$A$102,0)),""),""))))</f>
        <v>要件レビュー</v>
      </c>
      <c r="S6" s="20" t="n">
        <f aca="false">IF($A6="","",IF($J6&lt;&gt;"完了",1,0))</f>
        <v>1</v>
      </c>
    </row>
    <row r="7" customFormat="false" ht="15" hidden="false" customHeight="false" outlineLevel="0" collapsed="false">
      <c r="A7" s="12" t="n">
        <v>5</v>
      </c>
      <c r="B7" s="12"/>
      <c r="C7" s="12" t="s">
        <v>94</v>
      </c>
      <c r="D7" s="13" t="s">
        <v>58</v>
      </c>
      <c r="E7" s="13" t="s">
        <v>69</v>
      </c>
      <c r="F7" s="12" t="n">
        <v>3</v>
      </c>
      <c r="G7" s="12"/>
      <c r="H7" s="12"/>
      <c r="I7" s="18" t="n">
        <v>5</v>
      </c>
      <c r="J7" s="13" t="s">
        <v>93</v>
      </c>
      <c r="K7" s="19" t="n">
        <f aca="false">IF($A7="","",IF(AND($F7="",$G7="",$H7=""),設定!$B$2,MAX(IF($F7="",0,IFERROR(WORKDAY(INDEX($L$3:$L$6,MATCH($F7,$A$3:$A$6,0)),1),0)),IF($G7="",0,IFERROR(WORKDAY(INDEX($L$3:$L$6,MATCH($G7,$A$3:$A$6,0)),1),0)),IF($H7="",0,IFERROR(WORKDAY(INDEX($L$3:$L$6,MATCH($H7,$A$3:$A$6,0)),1),0)))))</f>
        <v>46248</v>
      </c>
      <c r="L7" s="19" t="n">
        <f aca="false">IF($A7="","",WORKDAY($K7,$I7-1))</f>
        <v>46254</v>
      </c>
      <c r="M7" s="19" t="n">
        <f aca="false">IF($A7="","",WORKDAY($N7,-($I7-1)))</f>
        <v>46248</v>
      </c>
      <c r="N7" s="19" t="n">
        <f aca="false">IF($A7="","",IF(COUNTIF($F$8:$F$102,$A7)+COUNTIF($G$8:$G$102,$A7)+COUNTIF($H$8:$H$102,$A7)=0,設定!$B$3,MIN(IF(COUNTIF($F$8:$F$102,$A7)=0,999999,IFERROR(WORKDAY(_xlfn.MINIFS($M$8:$M$102,$F$8:$F$102,$A7),-1),999999)),IF(COUNTIF($G$8:$G$102,$A7)=0,999999,IFERROR(WORKDAY(_xlfn.MINIFS($M$8:$M$102,$G$8:$G$102,$A7),-1),999999)),IF(COUNTIF($H$8:$H$102,$A7)=0,999999,IFERROR(WORKDAY(_xlfn.MINIFS($M$8:$M$102,$H$8:$H$102,$A7),-1),999999)))))</f>
        <v>46254</v>
      </c>
      <c r="O7" s="20" t="n">
        <f aca="false">IF($A7="","",NETWORKDAYS($K7,$M7)-1)</f>
        <v>0</v>
      </c>
      <c r="P7" s="20" t="str">
        <f aca="false">IF($A7="","",IF($O7&lt;=0,"クリティカル",""))</f>
        <v>クリティカル</v>
      </c>
      <c r="Q7" s="20" t="str">
        <f aca="true">IF($A7="","",IF(AND($J7&lt;&gt;"完了",TODAY()&gt;$L7),"遅延",""))</f>
        <v/>
      </c>
      <c r="R7" s="20" t="str">
        <f aca="false">IF($A7="","",_xlfn.TEXTJOIN(", ",TRUE(),IF($F7="","",IF(IFERROR(INDEX($J$3:$J$102,MATCH($F7,$A$3:$A$102,0)),"")&lt;&gt;"完了",IFERROR(INDEX($C$3:$C$102,MATCH($F7,$A$3:$A$102,0)),""),"")),IF($G7="","",IF(IFERROR(INDEX($J$3:$J$102,MATCH($G7,$A$3:$A$102,0)),"")&lt;&gt;"完了",IFERROR(INDEX($C$3:$C$102,MATCH($G7,$A$3:$A$102,0)),""),"")),IF($H7="","",IF(IFERROR(INDEX($J$3:$J$102,MATCH($H7,$A$3:$A$102,0)),"")&lt;&gt;"完了",IFERROR(INDEX($C$3:$C$102,MATCH($H7,$A$3:$A$102,0)),""),""))))</f>
        <v>要件レビュー</v>
      </c>
      <c r="S7" s="20" t="n">
        <f aca="false">IF($A7="","",IF($J7&lt;&gt;"完了",1,0))</f>
        <v>1</v>
      </c>
    </row>
    <row r="8" customFormat="false" ht="15" hidden="false" customHeight="false" outlineLevel="0" collapsed="false">
      <c r="A8" s="12" t="n">
        <v>6</v>
      </c>
      <c r="B8" s="12"/>
      <c r="C8" s="12" t="s">
        <v>95</v>
      </c>
      <c r="D8" s="13" t="s">
        <v>58</v>
      </c>
      <c r="E8" s="13" t="s">
        <v>69</v>
      </c>
      <c r="F8" s="12" t="n">
        <v>5</v>
      </c>
      <c r="G8" s="12"/>
      <c r="H8" s="12"/>
      <c r="I8" s="18" t="n">
        <v>3</v>
      </c>
      <c r="J8" s="13" t="s">
        <v>93</v>
      </c>
      <c r="K8" s="19" t="n">
        <f aca="false">IF($A8="","",IF(AND($F8="",$G8="",$H8=""),設定!$B$2,MAX(IF($F8="",0,IFERROR(WORKDAY(INDEX($L$3:$L$7,MATCH($F8,$A$3:$A$7,0)),1),0)),IF($G8="",0,IFERROR(WORKDAY(INDEX($L$3:$L$7,MATCH($G8,$A$3:$A$7,0)),1),0)),IF($H8="",0,IFERROR(WORKDAY(INDEX($L$3:$L$7,MATCH($H8,$A$3:$A$7,0)),1),0)))))</f>
        <v>46255</v>
      </c>
      <c r="L8" s="19" t="n">
        <f aca="false">IF($A8="","",WORKDAY($K8,$I8-1))</f>
        <v>46259</v>
      </c>
      <c r="M8" s="19" t="n">
        <f aca="false">IF($A8="","",WORKDAY($N8,-($I8-1)))</f>
        <v>46255</v>
      </c>
      <c r="N8" s="19" t="n">
        <f aca="false">IF($A8="","",IF(COUNTIF($F$9:$F$102,$A8)+COUNTIF($G$9:$G$102,$A8)+COUNTIF($H$9:$H$102,$A8)=0,設定!$B$3,MIN(IF(COUNTIF($F$9:$F$102,$A8)=0,999999,IFERROR(WORKDAY(_xlfn.MINIFS($M$9:$M$102,$F$9:$F$102,$A8),-1),999999)),IF(COUNTIF($G$9:$G$102,$A8)=0,999999,IFERROR(WORKDAY(_xlfn.MINIFS($M$9:$M$102,$G$9:$G$102,$A8),-1),999999)),IF(COUNTIF($H$9:$H$102,$A8)=0,999999,IFERROR(WORKDAY(_xlfn.MINIFS($M$9:$M$102,$H$9:$H$102,$A8),-1),999999)))))</f>
        <v>46259</v>
      </c>
      <c r="O8" s="20" t="n">
        <f aca="false">IF($A8="","",NETWORKDAYS($K8,$M8)-1)</f>
        <v>0</v>
      </c>
      <c r="P8" s="20" t="str">
        <f aca="false">IF($A8="","",IF($O8&lt;=0,"クリティカル",""))</f>
        <v>クリティカル</v>
      </c>
      <c r="Q8" s="20" t="str">
        <f aca="true">IF($A8="","",IF(AND($J8&lt;&gt;"完了",TODAY()&gt;$L8),"遅延",""))</f>
        <v/>
      </c>
      <c r="R8" s="20" t="str">
        <f aca="false">IF($A8="","",_xlfn.TEXTJOIN(", ",TRUE(),IF($F8="","",IF(IFERROR(INDEX($J$3:$J$102,MATCH($F8,$A$3:$A$102,0)),"")&lt;&gt;"完了",IFERROR(INDEX($C$3:$C$102,MATCH($F8,$A$3:$A$102,0)),""),"")),IF($G8="","",IF(IFERROR(INDEX($J$3:$J$102,MATCH($G8,$A$3:$A$102,0)),"")&lt;&gt;"完了",IFERROR(INDEX($C$3:$C$102,MATCH($G8,$A$3:$A$102,0)),""),"")),IF($H8="","",IF(IFERROR(INDEX($J$3:$J$102,MATCH($H8,$A$3:$A$102,0)),"")&lt;&gt;"完了",IFERROR(INDEX($C$3:$C$102,MATCH($H8,$A$3:$A$102,0)),""),""))))</f>
        <v>DB設計</v>
      </c>
      <c r="S8" s="20" t="n">
        <f aca="false">IF($A8="","",IF($J8&lt;&gt;"完了",1,0))</f>
        <v>1</v>
      </c>
    </row>
    <row r="9" customFormat="false" ht="15" hidden="false" customHeight="false" outlineLevel="0" collapsed="false">
      <c r="A9" s="12" t="n">
        <v>7</v>
      </c>
      <c r="B9" s="12"/>
      <c r="C9" s="13" t="s">
        <v>96</v>
      </c>
      <c r="D9" s="13" t="s">
        <v>58</v>
      </c>
      <c r="E9" s="13" t="s">
        <v>67</v>
      </c>
      <c r="F9" s="12" t="n">
        <v>4</v>
      </c>
      <c r="G9" s="12" t="n">
        <v>6</v>
      </c>
      <c r="H9" s="12"/>
      <c r="I9" s="18" t="n">
        <v>2</v>
      </c>
      <c r="J9" s="13" t="s">
        <v>93</v>
      </c>
      <c r="K9" s="19" t="n">
        <f aca="false">IF($A9="","",IF(AND($F9="",$G9="",$H9=""),設定!$B$2,MAX(IF($F9="",0,IFERROR(WORKDAY(INDEX($L$3:$L$8,MATCH($F9,$A$3:$A$8,0)),1),0)),IF($G9="",0,IFERROR(WORKDAY(INDEX($L$3:$L$8,MATCH($G9,$A$3:$A$8,0)),1),0)),IF($H9="",0,IFERROR(WORKDAY(INDEX($L$3:$L$8,MATCH($H9,$A$3:$A$8,0)),1),0)))))</f>
        <v>46260</v>
      </c>
      <c r="L9" s="19" t="n">
        <f aca="false">IF($A9="","",WORKDAY($K9,$I9-1))</f>
        <v>46261</v>
      </c>
      <c r="M9" s="19" t="n">
        <f aca="false">IF($A9="","",WORKDAY($N9,-($I9-1)))</f>
        <v>46260</v>
      </c>
      <c r="N9" s="19" t="n">
        <f aca="false">IF($A9="","",IF(COUNTIF($F$10:$F$102,$A9)+COUNTIF($G$10:$G$102,$A9)+COUNTIF($H$10:$H$102,$A9)=0,設定!$B$3,MIN(IF(COUNTIF($F$10:$F$102,$A9)=0,999999,IFERROR(WORKDAY(_xlfn.MINIFS($M$10:$M$102,$F$10:$F$102,$A9),-1),999999)),IF(COUNTIF($G$10:$G$102,$A9)=0,999999,IFERROR(WORKDAY(_xlfn.MINIFS($M$10:$M$102,$G$10:$G$102,$A9),-1),999999)),IF(COUNTIF($H$10:$H$102,$A9)=0,999999,IFERROR(WORKDAY(_xlfn.MINIFS($M$10:$M$102,$H$10:$H$102,$A9),-1),999999)))))</f>
        <v>46261</v>
      </c>
      <c r="O9" s="20" t="n">
        <f aca="false">IF($A9="","",NETWORKDAYS($K9,$M9)-1)</f>
        <v>0</v>
      </c>
      <c r="P9" s="20" t="str">
        <f aca="false">IF($A9="","",IF($O9&lt;=0,"クリティカル",""))</f>
        <v>クリティカル</v>
      </c>
      <c r="Q9" s="20" t="str">
        <f aca="true">IF($A9="","",IF(AND($J9&lt;&gt;"完了",TODAY()&gt;$L9),"遅延",""))</f>
        <v/>
      </c>
      <c r="R9" s="20" t="str">
        <f aca="false">IF($A9="","",_xlfn.TEXTJOIN(", ",TRUE(),IF($F9="","",IF(IFERROR(INDEX($J$3:$J$102,MATCH($F9,$A$3:$A$102,0)),"")&lt;&gt;"完了",IFERROR(INDEX($C$3:$C$102,MATCH($F9,$A$3:$A$102,0)),""),"")),IF($G9="","",IF(IFERROR(INDEX($J$3:$J$102,MATCH($G9,$A$3:$A$102,0)),"")&lt;&gt;"完了",IFERROR(INDEX($C$3:$C$102,MATCH($G9,$A$3:$A$102,0)),""),"")),IF($H9="","",IF(IFERROR(INDEX($J$3:$J$102,MATCH($H9,$A$3:$A$102,0)),"")&lt;&gt;"完了",IFERROR(INDEX($C$3:$C$102,MATCH($H9,$A$3:$A$102,0)),""),""))))</f>
        <v>画面設計, API設計</v>
      </c>
      <c r="S9" s="20" t="n">
        <f aca="false">IF($A9="","",IF($J9&lt;&gt;"完了",1,0))</f>
        <v>1</v>
      </c>
    </row>
    <row r="10" customFormat="false" ht="15" hidden="false" customHeight="false" outlineLevel="0" collapsed="false">
      <c r="A10" s="12" t="n">
        <v>8</v>
      </c>
      <c r="B10" s="12"/>
      <c r="C10" s="13" t="s">
        <v>97</v>
      </c>
      <c r="D10" s="13" t="s">
        <v>60</v>
      </c>
      <c r="E10" s="13" t="s">
        <v>64</v>
      </c>
      <c r="F10" s="12" t="n">
        <v>7</v>
      </c>
      <c r="G10" s="12"/>
      <c r="H10" s="12"/>
      <c r="I10" s="18" t="n">
        <v>8</v>
      </c>
      <c r="J10" s="13" t="s">
        <v>93</v>
      </c>
      <c r="K10" s="19" t="n">
        <f aca="false">IF($A10="","",IF(AND($F10="",$G10="",$H10=""),設定!$B$2,MAX(IF($F10="",0,IFERROR(WORKDAY(INDEX($L$3:$L$9,MATCH($F10,$A$3:$A$9,0)),1),0)),IF($G10="",0,IFERROR(WORKDAY(INDEX($L$3:$L$9,MATCH($G10,$A$3:$A$9,0)),1),0)),IF($H10="",0,IFERROR(WORKDAY(INDEX($L$3:$L$9,MATCH($H10,$A$3:$A$9,0)),1),0)))))</f>
        <v>46262</v>
      </c>
      <c r="L10" s="19" t="n">
        <f aca="false">IF($A10="","",WORKDAY($K10,$I10-1))</f>
        <v>46273</v>
      </c>
      <c r="M10" s="19" t="n">
        <f aca="false">IF($A10="","",WORKDAY($N10,-($I10-1)))</f>
        <v>46262</v>
      </c>
      <c r="N10" s="19" t="n">
        <f aca="false">IF($A10="","",IF(COUNTIF($F$11:$F$102,$A10)+COUNTIF($G$11:$G$102,$A10)+COUNTIF($H$11:$H$102,$A10)=0,設定!$B$3,MIN(IF(COUNTIF($F$11:$F$102,$A10)=0,999999,IFERROR(WORKDAY(_xlfn.MINIFS($M$11:$M$102,$F$11:$F$102,$A10),-1),999999)),IF(COUNTIF($G$11:$G$102,$A10)=0,999999,IFERROR(WORKDAY(_xlfn.MINIFS($M$11:$M$102,$G$11:$G$102,$A10),-1),999999)),IF(COUNTIF($H$11:$H$102,$A10)=0,999999,IFERROR(WORKDAY(_xlfn.MINIFS($M$11:$M$102,$H$11:$H$102,$A10),-1),999999)))))</f>
        <v>46273</v>
      </c>
      <c r="O10" s="20" t="n">
        <f aca="false">IF($A10="","",NETWORKDAYS($K10,$M10)-1)</f>
        <v>0</v>
      </c>
      <c r="P10" s="20" t="str">
        <f aca="false">IF($A10="","",IF($O10&lt;=0,"クリティカル",""))</f>
        <v>クリティカル</v>
      </c>
      <c r="Q10" s="20" t="str">
        <f aca="true">IF($A10="","",IF(AND($J10&lt;&gt;"完了",TODAY()&gt;$L10),"遅延",""))</f>
        <v/>
      </c>
      <c r="R10" s="20" t="str">
        <f aca="false">IF($A10="","",_xlfn.TEXTJOIN(", ",TRUE(),IF($F10="","",IF(IFERROR(INDEX($J$3:$J$102,MATCH($F10,$A$3:$A$102,0)),"")&lt;&gt;"完了",IFERROR(INDEX($C$3:$C$102,MATCH($F10,$A$3:$A$102,0)),""),"")),IF($G10="","",IF(IFERROR(INDEX($J$3:$J$102,MATCH($G10,$A$3:$A$102,0)),"")&lt;&gt;"完了",IFERROR(INDEX($C$3:$C$102,MATCH($G10,$A$3:$A$102,0)),""),"")),IF($H10="","",IF(IFERROR(INDEX($J$3:$J$102,MATCH($H10,$A$3:$A$102,0)),"")&lt;&gt;"完了",IFERROR(INDEX($C$3:$C$102,MATCH($H10,$A$3:$A$102,0)),""),""))))</f>
        <v>設計レビュー</v>
      </c>
      <c r="S10" s="20" t="n">
        <f aca="false">IF($A10="","",IF($J10&lt;&gt;"完了",1,0))</f>
        <v>1</v>
      </c>
    </row>
    <row r="11" customFormat="false" ht="15" hidden="false" customHeight="false" outlineLevel="0" collapsed="false">
      <c r="A11" s="12" t="n">
        <v>8.1</v>
      </c>
      <c r="B11" s="12" t="n">
        <v>8</v>
      </c>
      <c r="C11" s="13" t="s">
        <v>98</v>
      </c>
      <c r="D11" s="13" t="s">
        <v>60</v>
      </c>
      <c r="E11" s="13" t="s">
        <v>64</v>
      </c>
      <c r="F11" s="12"/>
      <c r="G11" s="12"/>
      <c r="H11" s="12"/>
      <c r="I11" s="18" t="n">
        <v>4</v>
      </c>
      <c r="J11" s="13" t="s">
        <v>93</v>
      </c>
      <c r="K11" s="19" t="n">
        <f aca="false">IF($A11="","",IF(AND($F11="",$G11="",$H11=""),設定!$B$2,MAX(IF($F11="",0,IFERROR(WORKDAY(INDEX($L$3:$L$10,MATCH($F11,$A$3:$A$10,0)),1),0)),IF($G11="",0,IFERROR(WORKDAY(INDEX($L$3:$L$10,MATCH($G11,$A$3:$A$10,0)),1),0)),IF($H11="",0,IFERROR(WORKDAY(INDEX($L$3:$L$10,MATCH($H11,$A$3:$A$10,0)),1),0)))))</f>
        <v>46237</v>
      </c>
      <c r="L11" s="19" t="n">
        <f aca="false">IF($A11="","",WORKDAY($K11,$I11-1))</f>
        <v>46240</v>
      </c>
      <c r="M11" s="19" t="n">
        <f aca="false">IF($A11="","",WORKDAY($N11,-($I11-1)))</f>
        <v>46275</v>
      </c>
      <c r="N11" s="19" t="n">
        <f aca="false">IF($A11="","",IF(COUNTIF($F$12:$F$102,$A11)+COUNTIF($G$12:$G$102,$A11)+COUNTIF($H$12:$H$102,$A11)=0,設定!$B$3,MIN(IF(COUNTIF($F$12:$F$102,$A11)=0,999999,IFERROR(WORKDAY(_xlfn.MINIFS($M$12:$M$102,$F$12:$F$102,$A11),-1),999999)),IF(COUNTIF($G$12:$G$102,$A11)=0,999999,IFERROR(WORKDAY(_xlfn.MINIFS($M$12:$M$102,$G$12:$G$102,$A11),-1),999999)),IF(COUNTIF($H$12:$H$102,$A11)=0,999999,IFERROR(WORKDAY(_xlfn.MINIFS($M$12:$M$102,$H$12:$H$102,$A11),-1),999999)))))</f>
        <v>46280</v>
      </c>
      <c r="O11" s="20" t="n">
        <f aca="false">IF($A11="","",NETWORKDAYS($K11,$M11)-1)</f>
        <v>28</v>
      </c>
      <c r="P11" s="20" t="str">
        <f aca="false">IF($A11="","",IF($O11&lt;=0,"クリティカル",""))</f>
        <v/>
      </c>
      <c r="Q11" s="20" t="str">
        <f aca="true">IF($A11="","",IF(AND($J11&lt;&gt;"完了",TODAY()&gt;$L11),"遅延",""))</f>
        <v/>
      </c>
      <c r="R11" s="20" t="str">
        <f aca="false">IF($A11="","",_xlfn.TEXTJOIN(", ",TRUE(),IF($F11="","",IF(IFERROR(INDEX($J$3:$J$102,MATCH($F11,$A$3:$A$102,0)),"")&lt;&gt;"完了",IFERROR(INDEX($C$3:$C$102,MATCH($F11,$A$3:$A$102,0)),""),"")),IF($G11="","",IF(IFERROR(INDEX($J$3:$J$102,MATCH($G11,$A$3:$A$102,0)),"")&lt;&gt;"完了",IFERROR(INDEX($C$3:$C$102,MATCH($G11,$A$3:$A$102,0)),""),"")),IF($H11="","",IF(IFERROR(INDEX($J$3:$J$102,MATCH($H11,$A$3:$A$102,0)),"")&lt;&gt;"完了",IFERROR(INDEX($C$3:$C$102,MATCH($H11,$A$3:$A$102,0)),""),""))))</f>
        <v/>
      </c>
      <c r="S11" s="20" t="n">
        <f aca="false">IF($A11="","",IF($J11&lt;&gt;"完了",1,0))</f>
        <v>1</v>
      </c>
    </row>
    <row r="12" customFormat="false" ht="15" hidden="false" customHeight="false" outlineLevel="0" collapsed="false">
      <c r="A12" s="12" t="n">
        <v>9</v>
      </c>
      <c r="B12" s="12"/>
      <c r="C12" s="13" t="s">
        <v>99</v>
      </c>
      <c r="D12" s="13" t="s">
        <v>60</v>
      </c>
      <c r="E12" s="13" t="s">
        <v>67</v>
      </c>
      <c r="F12" s="12" t="n">
        <v>8</v>
      </c>
      <c r="G12" s="12"/>
      <c r="H12" s="12"/>
      <c r="I12" s="18" t="n">
        <v>4</v>
      </c>
      <c r="J12" s="13" t="s">
        <v>93</v>
      </c>
      <c r="K12" s="19" t="n">
        <f aca="false">IF($A12="","",IF(AND($F12="",$G12="",$H12=""),設定!$B$2,MAX(IF($F12="",0,IFERROR(WORKDAY(INDEX($L$3:$L$11,MATCH($F12,$A$3:$A$11,0)),1),0)),IF($G12="",0,IFERROR(WORKDAY(INDEX($L$3:$L$11,MATCH($G12,$A$3:$A$11,0)),1),0)),IF($H12="",0,IFERROR(WORKDAY(INDEX($L$3:$L$11,MATCH($H12,$A$3:$A$11,0)),1),0)))))</f>
        <v>46274</v>
      </c>
      <c r="L12" s="19" t="n">
        <f aca="false">IF($A12="","",WORKDAY($K12,$I12-1))</f>
        <v>46279</v>
      </c>
      <c r="M12" s="19" t="n">
        <f aca="false">IF($A12="","",WORKDAY($N12,-($I12-1)))</f>
        <v>46274</v>
      </c>
      <c r="N12" s="19" t="n">
        <f aca="false">IF($A12="","",IF(COUNTIF($F$13:$F$102,$A12)+COUNTIF($G$13:$G$102,$A12)+COUNTIF($H$13:$H$102,$A12)=0,設定!$B$3,MIN(IF(COUNTIF($F$13:$F$102,$A12)=0,999999,IFERROR(WORKDAY(_xlfn.MINIFS($M$13:$M$102,$F$13:$F$102,$A12),-1),999999)),IF(COUNTIF($G$13:$G$102,$A12)=0,999999,IFERROR(WORKDAY(_xlfn.MINIFS($M$13:$M$102,$G$13:$G$102,$A12),-1),999999)),IF(COUNTIF($H$13:$H$102,$A12)=0,999999,IFERROR(WORKDAY(_xlfn.MINIFS($M$13:$M$102,$H$13:$H$102,$A12),-1),999999)))))</f>
        <v>46279</v>
      </c>
      <c r="O12" s="20" t="n">
        <f aca="false">IF($A12="","",NETWORKDAYS($K12,$M12)-1)</f>
        <v>0</v>
      </c>
      <c r="P12" s="20" t="str">
        <f aca="false">IF($A12="","",IF($O12&lt;=0,"クリティカル",""))</f>
        <v>クリティカル</v>
      </c>
      <c r="Q12" s="20" t="str">
        <f aca="true">IF($A12="","",IF(AND($J12&lt;&gt;"完了",TODAY()&gt;$L12),"遅延",""))</f>
        <v/>
      </c>
      <c r="R12" s="20" t="str">
        <f aca="false">IF($A12="","",_xlfn.TEXTJOIN(", ",TRUE(),IF($F12="","",IF(IFERROR(INDEX($J$3:$J$102,MATCH($F12,$A$3:$A$102,0)),"")&lt;&gt;"完了",IFERROR(INDEX($C$3:$C$102,MATCH($F12,$A$3:$A$102,0)),""),"")),IF($G12="","",IF(IFERROR(INDEX($J$3:$J$102,MATCH($G12,$A$3:$A$102,0)),"")&lt;&gt;"完了",IFERROR(INDEX($C$3:$C$102,MATCH($G12,$A$3:$A$102,0)),""),"")),IF($H12="","",IF(IFERROR(INDEX($J$3:$J$102,MATCH($H12,$A$3:$A$102,0)),"")&lt;&gt;"完了",IFERROR(INDEX($C$3:$C$102,MATCH($H12,$A$3:$A$102,0)),""),""))))</f>
        <v>実装</v>
      </c>
      <c r="S12" s="20" t="n">
        <f aca="false">IF($A12="","",IF($J12&lt;&gt;"完了",1,0))</f>
        <v>1</v>
      </c>
    </row>
    <row r="13" customFormat="false" ht="15" hidden="false" customHeight="false" outlineLevel="0" collapsed="false">
      <c r="A13" s="12" t="n">
        <v>10</v>
      </c>
      <c r="B13" s="12"/>
      <c r="C13" s="13" t="s">
        <v>100</v>
      </c>
      <c r="D13" s="13" t="s">
        <v>60</v>
      </c>
      <c r="E13" s="13" t="s">
        <v>69</v>
      </c>
      <c r="F13" s="12" t="n">
        <v>9</v>
      </c>
      <c r="G13" s="12"/>
      <c r="H13" s="12"/>
      <c r="I13" s="18" t="n">
        <v>1</v>
      </c>
      <c r="J13" s="13" t="s">
        <v>93</v>
      </c>
      <c r="K13" s="19" t="n">
        <f aca="false">IF($A13="","",IF(AND($F13="",$G13="",$H13=""),設定!$B$2,MAX(IF($F13="",0,IFERROR(WORKDAY(INDEX($L$3:$L$12,MATCH($F13,$A$3:$A$12,0)),1),0)),IF($G13="",0,IFERROR(WORKDAY(INDEX($L$3:$L$12,MATCH($G13,$A$3:$A$12,0)),1),0)),IF($H13="",0,IFERROR(WORKDAY(INDEX($L$3:$L$12,MATCH($H13,$A$3:$A$12,0)),1),0)))))</f>
        <v>46280</v>
      </c>
      <c r="L13" s="19" t="n">
        <f aca="false">IF($A13="","",WORKDAY($K13,$I13-1))</f>
        <v>46280</v>
      </c>
      <c r="M13" s="19" t="n">
        <f aca="false">IF($A13="","",WORKDAY($N13,-($I13-1)))</f>
        <v>46280</v>
      </c>
      <c r="N13" s="19" t="n">
        <f aca="false">IF($A13="","",IF(COUNTIF($F$14:$F$102,$A13)+COUNTIF($G$14:$G$102,$A13)+COUNTIF($H$14:$H$102,$A13)=0,設定!$B$3,MIN(IF(COUNTIF($F$14:$F$102,$A13)=0,999999,IFERROR(WORKDAY(_xlfn.MINIFS($M$14:$M$102,$F$14:$F$102,$A13),-1),999999)),IF(COUNTIF($G$14:$G$102,$A13)=0,999999,IFERROR(WORKDAY(_xlfn.MINIFS($M$14:$M$102,$G$14:$G$102,$A13),-1),999999)),IF(COUNTIF($H$14:$H$102,$A13)=0,999999,IFERROR(WORKDAY(_xlfn.MINIFS($M$14:$M$102,$H$14:$H$102,$A13),-1),999999)))))</f>
        <v>46280</v>
      </c>
      <c r="O13" s="20" t="n">
        <f aca="false">IF($A13="","",NETWORKDAYS($K13,$M13)-1)</f>
        <v>0</v>
      </c>
      <c r="P13" s="20" t="str">
        <f aca="false">IF($A13="","",IF($O13&lt;=0,"クリティカル",""))</f>
        <v>クリティカル</v>
      </c>
      <c r="Q13" s="20" t="str">
        <f aca="true">IF($A13="","",IF(AND($J13&lt;&gt;"完了",TODAY()&gt;$L13),"遅延",""))</f>
        <v/>
      </c>
      <c r="R13" s="20" t="str">
        <f aca="false">IF($A13="","",_xlfn.TEXTJOIN(", ",TRUE(),IF($F13="","",IF(IFERROR(INDEX($J$3:$J$102,MATCH($F13,$A$3:$A$102,0)),"")&lt;&gt;"完了",IFERROR(INDEX($C$3:$C$102,MATCH($F13,$A$3:$A$102,0)),""),"")),IF($G13="","",IF(IFERROR(INDEX($J$3:$J$102,MATCH($G13,$A$3:$A$102,0)),"")&lt;&gt;"完了",IFERROR(INDEX($C$3:$C$102,MATCH($G13,$A$3:$A$102,0)),""),"")),IF($H13="","",IF(IFERROR(INDEX($J$3:$J$102,MATCH($H13,$A$3:$A$102,0)),"")&lt;&gt;"完了",IFERROR(INDEX($C$3:$C$102,MATCH($H13,$A$3:$A$102,0)),""),""))))</f>
        <v>テスト</v>
      </c>
      <c r="S13" s="20" t="n">
        <f aca="false">IF($A13="","",IF($J13&lt;&gt;"完了",1,0))</f>
        <v>1</v>
      </c>
    </row>
    <row r="14" customFormat="false" ht="15" hidden="false" customHeight="false" outlineLevel="0" collapsed="false">
      <c r="A14" s="16"/>
      <c r="B14" s="16"/>
      <c r="C14" s="16"/>
      <c r="D14" s="16"/>
      <c r="E14" s="16"/>
      <c r="F14" s="16"/>
      <c r="G14" s="16"/>
      <c r="H14" s="16"/>
      <c r="I14" s="21"/>
      <c r="J14" s="16"/>
      <c r="K14" s="9" t="str">
        <f aca="false">IF($A14="","",IF(AND($F14="",$G14="",$H14=""),設定!$B$2,MAX(IF($F14="",0,IFERROR(WORKDAY(INDEX($L$3:$L$13,MATCH($F14,$A$3:$A$13,0)),1),0)),IF($G14="",0,IFERROR(WORKDAY(INDEX($L$3:$L$13,MATCH($G14,$A$3:$A$13,0)),1),0)),IF($H14="",0,IFERROR(WORKDAY(INDEX($L$3:$L$13,MATCH($H14,$A$3:$A$13,0)),1),0)))))</f>
        <v/>
      </c>
      <c r="L14" s="9" t="str">
        <f aca="false">IF($A14="","",WORKDAY($K14,$I14-1))</f>
        <v/>
      </c>
      <c r="M14" s="9" t="str">
        <f aca="false">IF($A14="","",WORKDAY($N14,-($I14-1)))</f>
        <v/>
      </c>
      <c r="N14" s="9" t="str">
        <f aca="false">IF($A14="","",IF(COUNTIF($F$15:$F$102,$A14)+COUNTIF($G$15:$G$102,$A14)+COUNTIF($H$15:$H$102,$A14)=0,設定!$B$3,MIN(IF(COUNTIF($F$15:$F$102,$A14)=0,999999,IFERROR(WORKDAY(_xlfn.MINIFS($M$15:$M$102,$F$15:$F$102,$A14),-1),999999)),IF(COUNTIF($G$15:$G$102,$A14)=0,999999,IFERROR(WORKDAY(_xlfn.MINIFS($M$15:$M$102,$G$15:$G$102,$A14),-1),999999)),IF(COUNTIF($H$15:$H$102,$A14)=0,999999,IFERROR(WORKDAY(_xlfn.MINIFS($M$15:$M$102,$H$15:$H$102,$A14),-1),999999)))))</f>
        <v/>
      </c>
      <c r="O14" s="22" t="str">
        <f aca="false">IF($A14="","",NETWORKDAYS($K14,$M14)-1)</f>
        <v/>
      </c>
      <c r="P14" s="22" t="str">
        <f aca="false">IF($A14="","",IF($O14&lt;=0,"クリティカル",""))</f>
        <v/>
      </c>
      <c r="Q14" s="22" t="str">
        <f aca="true">IF($A14="","",IF(AND($J14&lt;&gt;"完了",TODAY()&gt;$L14),"遅延",""))</f>
        <v/>
      </c>
      <c r="R14" s="22" t="str">
        <f aca="false">IF($A14="","",_xlfn.TEXTJOIN(", ",TRUE(),IF($F14="","",IF(IFERROR(INDEX($J$3:$J$102,MATCH($F14,$A$3:$A$102,0)),"")&lt;&gt;"完了",IFERROR(INDEX($C$3:$C$102,MATCH($F14,$A$3:$A$102,0)),""),"")),IF($G14="","",IF(IFERROR(INDEX($J$3:$J$102,MATCH($G14,$A$3:$A$102,0)),"")&lt;&gt;"完了",IFERROR(INDEX($C$3:$C$102,MATCH($G14,$A$3:$A$102,0)),""),"")),IF($H14="","",IF(IFERROR(INDEX($J$3:$J$102,MATCH($H14,$A$3:$A$102,0)),"")&lt;&gt;"完了",IFERROR(INDEX($C$3:$C$102,MATCH($H14,$A$3:$A$102,0)),""),""))))</f>
        <v/>
      </c>
      <c r="S14" s="22" t="str">
        <f aca="false">IF($A14="","",IF($J14&lt;&gt;"完了",1,0))</f>
        <v/>
      </c>
    </row>
    <row r="15" customFormat="false" ht="15" hidden="false" customHeight="false" outlineLevel="0" collapsed="false">
      <c r="A15" s="16"/>
      <c r="B15" s="16"/>
      <c r="C15" s="16"/>
      <c r="D15" s="16"/>
      <c r="E15" s="16"/>
      <c r="F15" s="16"/>
      <c r="G15" s="16"/>
      <c r="H15" s="16"/>
      <c r="I15" s="21"/>
      <c r="J15" s="16"/>
      <c r="K15" s="9" t="str">
        <f aca="false">IF($A15="","",IF(AND($F15="",$G15="",$H15=""),設定!$B$2,MAX(IF($F15="",0,IFERROR(WORKDAY(INDEX($L$3:$L$14,MATCH($F15,$A$3:$A$14,0)),1),0)),IF($G15="",0,IFERROR(WORKDAY(INDEX($L$3:$L$14,MATCH($G15,$A$3:$A$14,0)),1),0)),IF($H15="",0,IFERROR(WORKDAY(INDEX($L$3:$L$14,MATCH($H15,$A$3:$A$14,0)),1),0)))))</f>
        <v/>
      </c>
      <c r="L15" s="9" t="str">
        <f aca="false">IF($A15="","",WORKDAY($K15,$I15-1))</f>
        <v/>
      </c>
      <c r="M15" s="9" t="str">
        <f aca="false">IF($A15="","",WORKDAY($N15,-($I15-1)))</f>
        <v/>
      </c>
      <c r="N15" s="9" t="str">
        <f aca="false">IF($A15="","",IF(COUNTIF($F$16:$F$102,$A15)+COUNTIF($G$16:$G$102,$A15)+COUNTIF($H$16:$H$102,$A15)=0,設定!$B$3,MIN(IF(COUNTIF($F$16:$F$102,$A15)=0,999999,IFERROR(WORKDAY(_xlfn.MINIFS($M$16:$M$102,$F$16:$F$102,$A15),-1),999999)),IF(COUNTIF($G$16:$G$102,$A15)=0,999999,IFERROR(WORKDAY(_xlfn.MINIFS($M$16:$M$102,$G$16:$G$102,$A15),-1),999999)),IF(COUNTIF($H$16:$H$102,$A15)=0,999999,IFERROR(WORKDAY(_xlfn.MINIFS($M$16:$M$102,$H$16:$H$102,$A15),-1),999999)))))</f>
        <v/>
      </c>
      <c r="O15" s="22" t="str">
        <f aca="false">IF($A15="","",NETWORKDAYS($K15,$M15)-1)</f>
        <v/>
      </c>
      <c r="P15" s="22" t="str">
        <f aca="false">IF($A15="","",IF($O15&lt;=0,"クリティカル",""))</f>
        <v/>
      </c>
      <c r="Q15" s="22" t="str">
        <f aca="true">IF($A15="","",IF(AND($J15&lt;&gt;"完了",TODAY()&gt;$L15),"遅延",""))</f>
        <v/>
      </c>
      <c r="R15" s="22" t="str">
        <f aca="false">IF($A15="","",_xlfn.TEXTJOIN(", ",TRUE(),IF($F15="","",IF(IFERROR(INDEX($J$3:$J$102,MATCH($F15,$A$3:$A$102,0)),"")&lt;&gt;"完了",IFERROR(INDEX($C$3:$C$102,MATCH($F15,$A$3:$A$102,0)),""),"")),IF($G15="","",IF(IFERROR(INDEX($J$3:$J$102,MATCH($G15,$A$3:$A$102,0)),"")&lt;&gt;"完了",IFERROR(INDEX($C$3:$C$102,MATCH($G15,$A$3:$A$102,0)),""),"")),IF($H15="","",IF(IFERROR(INDEX($J$3:$J$102,MATCH($H15,$A$3:$A$102,0)),"")&lt;&gt;"完了",IFERROR(INDEX($C$3:$C$102,MATCH($H15,$A$3:$A$102,0)),""),""))))</f>
        <v/>
      </c>
      <c r="S15" s="22" t="str">
        <f aca="false">IF($A15="","",IF($J15&lt;&gt;"完了",1,0))</f>
        <v/>
      </c>
    </row>
    <row r="16" customFormat="false" ht="15" hidden="false" customHeight="false" outlineLevel="0" collapsed="false">
      <c r="A16" s="16"/>
      <c r="B16" s="16"/>
      <c r="C16" s="16"/>
      <c r="D16" s="16"/>
      <c r="E16" s="16"/>
      <c r="F16" s="16"/>
      <c r="G16" s="16"/>
      <c r="H16" s="16"/>
      <c r="I16" s="21"/>
      <c r="J16" s="16"/>
      <c r="K16" s="9" t="str">
        <f aca="false">IF($A16="","",IF(AND($F16="",$G16="",$H16=""),設定!$B$2,MAX(IF($F16="",0,IFERROR(WORKDAY(INDEX($L$3:$L$15,MATCH($F16,$A$3:$A$15,0)),1),0)),IF($G16="",0,IFERROR(WORKDAY(INDEX($L$3:$L$15,MATCH($G16,$A$3:$A$15,0)),1),0)),IF($H16="",0,IFERROR(WORKDAY(INDEX($L$3:$L$15,MATCH($H16,$A$3:$A$15,0)),1),0)))))</f>
        <v/>
      </c>
      <c r="L16" s="9" t="str">
        <f aca="false">IF($A16="","",WORKDAY($K16,$I16-1))</f>
        <v/>
      </c>
      <c r="M16" s="9" t="str">
        <f aca="false">IF($A16="","",WORKDAY($N16,-($I16-1)))</f>
        <v/>
      </c>
      <c r="N16" s="9" t="str">
        <f aca="false">IF($A16="","",IF(COUNTIF($F$17:$F$102,$A16)+COUNTIF($G$17:$G$102,$A16)+COUNTIF($H$17:$H$102,$A16)=0,設定!$B$3,MIN(IF(COUNTIF($F$17:$F$102,$A16)=0,999999,IFERROR(WORKDAY(_xlfn.MINIFS($M$17:$M$102,$F$17:$F$102,$A16),-1),999999)),IF(COUNTIF($G$17:$G$102,$A16)=0,999999,IFERROR(WORKDAY(_xlfn.MINIFS($M$17:$M$102,$G$17:$G$102,$A16),-1),999999)),IF(COUNTIF($H$17:$H$102,$A16)=0,999999,IFERROR(WORKDAY(_xlfn.MINIFS($M$17:$M$102,$H$17:$H$102,$A16),-1),999999)))))</f>
        <v/>
      </c>
      <c r="O16" s="22" t="str">
        <f aca="false">IF($A16="","",NETWORKDAYS($K16,$M16)-1)</f>
        <v/>
      </c>
      <c r="P16" s="22" t="str">
        <f aca="false">IF($A16="","",IF($O16&lt;=0,"クリティカル",""))</f>
        <v/>
      </c>
      <c r="Q16" s="22" t="str">
        <f aca="true">IF($A16="","",IF(AND($J16&lt;&gt;"完了",TODAY()&gt;$L16),"遅延",""))</f>
        <v/>
      </c>
      <c r="R16" s="22" t="str">
        <f aca="false">IF($A16="","",_xlfn.TEXTJOIN(", ",TRUE(),IF($F16="","",IF(IFERROR(INDEX($J$3:$J$102,MATCH($F16,$A$3:$A$102,0)),"")&lt;&gt;"完了",IFERROR(INDEX($C$3:$C$102,MATCH($F16,$A$3:$A$102,0)),""),"")),IF($G16="","",IF(IFERROR(INDEX($J$3:$J$102,MATCH($G16,$A$3:$A$102,0)),"")&lt;&gt;"完了",IFERROR(INDEX($C$3:$C$102,MATCH($G16,$A$3:$A$102,0)),""),"")),IF($H16="","",IF(IFERROR(INDEX($J$3:$J$102,MATCH($H16,$A$3:$A$102,0)),"")&lt;&gt;"完了",IFERROR(INDEX($C$3:$C$102,MATCH($H16,$A$3:$A$102,0)),""),""))))</f>
        <v/>
      </c>
      <c r="S16" s="22" t="str">
        <f aca="false">IF($A16="","",IF($J16&lt;&gt;"完了",1,0))</f>
        <v/>
      </c>
    </row>
    <row r="17" customFormat="false" ht="15" hidden="false" customHeight="false" outlineLevel="0" collapsed="false">
      <c r="A17" s="16"/>
      <c r="B17" s="16"/>
      <c r="C17" s="16"/>
      <c r="D17" s="16"/>
      <c r="E17" s="16"/>
      <c r="F17" s="16"/>
      <c r="G17" s="16"/>
      <c r="H17" s="16"/>
      <c r="I17" s="21"/>
      <c r="J17" s="16"/>
      <c r="K17" s="9" t="str">
        <f aca="false">IF($A17="","",IF(AND($F17="",$G17="",$H17=""),設定!$B$2,MAX(IF($F17="",0,IFERROR(WORKDAY(INDEX($L$3:$L$16,MATCH($F17,$A$3:$A$16,0)),1),0)),IF($G17="",0,IFERROR(WORKDAY(INDEX($L$3:$L$16,MATCH($G17,$A$3:$A$16,0)),1),0)),IF($H17="",0,IFERROR(WORKDAY(INDEX($L$3:$L$16,MATCH($H17,$A$3:$A$16,0)),1),0)))))</f>
        <v/>
      </c>
      <c r="L17" s="9" t="str">
        <f aca="false">IF($A17="","",WORKDAY($K17,$I17-1))</f>
        <v/>
      </c>
      <c r="M17" s="9" t="str">
        <f aca="false">IF($A17="","",WORKDAY($N17,-($I17-1)))</f>
        <v/>
      </c>
      <c r="N17" s="9" t="str">
        <f aca="false">IF($A17="","",IF(COUNTIF($F$18:$F$102,$A17)+COUNTIF($G$18:$G$102,$A17)+COUNTIF($H$18:$H$102,$A17)=0,設定!$B$3,MIN(IF(COUNTIF($F$18:$F$102,$A17)=0,999999,IFERROR(WORKDAY(_xlfn.MINIFS($M$18:$M$102,$F$18:$F$102,$A17),-1),999999)),IF(COUNTIF($G$18:$G$102,$A17)=0,999999,IFERROR(WORKDAY(_xlfn.MINIFS($M$18:$M$102,$G$18:$G$102,$A17),-1),999999)),IF(COUNTIF($H$18:$H$102,$A17)=0,999999,IFERROR(WORKDAY(_xlfn.MINIFS($M$18:$M$102,$H$18:$H$102,$A17),-1),999999)))))</f>
        <v/>
      </c>
      <c r="O17" s="22" t="str">
        <f aca="false">IF($A17="","",NETWORKDAYS($K17,$M17)-1)</f>
        <v/>
      </c>
      <c r="P17" s="22" t="str">
        <f aca="false">IF($A17="","",IF($O17&lt;=0,"クリティカル",""))</f>
        <v/>
      </c>
      <c r="Q17" s="22" t="str">
        <f aca="true">IF($A17="","",IF(AND($J17&lt;&gt;"完了",TODAY()&gt;$L17),"遅延",""))</f>
        <v/>
      </c>
      <c r="R17" s="22" t="str">
        <f aca="false">IF($A17="","",_xlfn.TEXTJOIN(", ",TRUE(),IF($F17="","",IF(IFERROR(INDEX($J$3:$J$102,MATCH($F17,$A$3:$A$102,0)),"")&lt;&gt;"完了",IFERROR(INDEX($C$3:$C$102,MATCH($F17,$A$3:$A$102,0)),""),"")),IF($G17="","",IF(IFERROR(INDEX($J$3:$J$102,MATCH($G17,$A$3:$A$102,0)),"")&lt;&gt;"完了",IFERROR(INDEX($C$3:$C$102,MATCH($G17,$A$3:$A$102,0)),""),"")),IF($H17="","",IF(IFERROR(INDEX($J$3:$J$102,MATCH($H17,$A$3:$A$102,0)),"")&lt;&gt;"完了",IFERROR(INDEX($C$3:$C$102,MATCH($H17,$A$3:$A$102,0)),""),""))))</f>
        <v/>
      </c>
      <c r="S17" s="22" t="str">
        <f aca="false">IF($A17="","",IF($J17&lt;&gt;"完了",1,0))</f>
        <v/>
      </c>
    </row>
    <row r="18" customFormat="false" ht="15" hidden="false" customHeight="false" outlineLevel="0" collapsed="false">
      <c r="A18" s="16"/>
      <c r="B18" s="16"/>
      <c r="C18" s="16"/>
      <c r="D18" s="16"/>
      <c r="E18" s="16"/>
      <c r="F18" s="16"/>
      <c r="G18" s="16"/>
      <c r="H18" s="16"/>
      <c r="I18" s="21"/>
      <c r="J18" s="16"/>
      <c r="K18" s="9" t="str">
        <f aca="false">IF($A18="","",IF(AND($F18="",$G18="",$H18=""),設定!$B$2,MAX(IF($F18="",0,IFERROR(WORKDAY(INDEX($L$3:$L$17,MATCH($F18,$A$3:$A$17,0)),1),0)),IF($G18="",0,IFERROR(WORKDAY(INDEX($L$3:$L$17,MATCH($G18,$A$3:$A$17,0)),1),0)),IF($H18="",0,IFERROR(WORKDAY(INDEX($L$3:$L$17,MATCH($H18,$A$3:$A$17,0)),1),0)))))</f>
        <v/>
      </c>
      <c r="L18" s="9" t="str">
        <f aca="false">IF($A18="","",WORKDAY($K18,$I18-1))</f>
        <v/>
      </c>
      <c r="M18" s="9" t="str">
        <f aca="false">IF($A18="","",WORKDAY($N18,-($I18-1)))</f>
        <v/>
      </c>
      <c r="N18" s="9" t="str">
        <f aca="false">IF($A18="","",IF(COUNTIF($F$19:$F$102,$A18)+COUNTIF($G$19:$G$102,$A18)+COUNTIF($H$19:$H$102,$A18)=0,設定!$B$3,MIN(IF(COUNTIF($F$19:$F$102,$A18)=0,999999,IFERROR(WORKDAY(_xlfn.MINIFS($M$19:$M$102,$F$19:$F$102,$A18),-1),999999)),IF(COUNTIF($G$19:$G$102,$A18)=0,999999,IFERROR(WORKDAY(_xlfn.MINIFS($M$19:$M$102,$G$19:$G$102,$A18),-1),999999)),IF(COUNTIF($H$19:$H$102,$A18)=0,999999,IFERROR(WORKDAY(_xlfn.MINIFS($M$19:$M$102,$H$19:$H$102,$A18),-1),999999)))))</f>
        <v/>
      </c>
      <c r="O18" s="22" t="str">
        <f aca="false">IF($A18="","",NETWORKDAYS($K18,$M18)-1)</f>
        <v/>
      </c>
      <c r="P18" s="22" t="str">
        <f aca="false">IF($A18="","",IF($O18&lt;=0,"クリティカル",""))</f>
        <v/>
      </c>
      <c r="Q18" s="22" t="str">
        <f aca="true">IF($A18="","",IF(AND($J18&lt;&gt;"完了",TODAY()&gt;$L18),"遅延",""))</f>
        <v/>
      </c>
      <c r="R18" s="22" t="str">
        <f aca="false">IF($A18="","",_xlfn.TEXTJOIN(", ",TRUE(),IF($F18="","",IF(IFERROR(INDEX($J$3:$J$102,MATCH($F18,$A$3:$A$102,0)),"")&lt;&gt;"完了",IFERROR(INDEX($C$3:$C$102,MATCH($F18,$A$3:$A$102,0)),""),"")),IF($G18="","",IF(IFERROR(INDEX($J$3:$J$102,MATCH($G18,$A$3:$A$102,0)),"")&lt;&gt;"完了",IFERROR(INDEX($C$3:$C$102,MATCH($G18,$A$3:$A$102,0)),""),"")),IF($H18="","",IF(IFERROR(INDEX($J$3:$J$102,MATCH($H18,$A$3:$A$102,0)),"")&lt;&gt;"完了",IFERROR(INDEX($C$3:$C$102,MATCH($H18,$A$3:$A$102,0)),""),""))))</f>
        <v/>
      </c>
      <c r="S18" s="22" t="str">
        <f aca="false">IF($A18="","",IF($J18&lt;&gt;"完了",1,0))</f>
        <v/>
      </c>
    </row>
    <row r="19" customFormat="false" ht="15" hidden="false" customHeight="false" outlineLevel="0" collapsed="false">
      <c r="A19" s="16"/>
      <c r="B19" s="16"/>
      <c r="C19" s="16"/>
      <c r="D19" s="16"/>
      <c r="E19" s="16"/>
      <c r="F19" s="16"/>
      <c r="G19" s="16"/>
      <c r="H19" s="16"/>
      <c r="I19" s="21"/>
      <c r="J19" s="16"/>
      <c r="K19" s="9" t="str">
        <f aca="false">IF($A19="","",IF(AND($F19="",$G19="",$H19=""),設定!$B$2,MAX(IF($F19="",0,IFERROR(WORKDAY(INDEX($L$3:$L$18,MATCH($F19,$A$3:$A$18,0)),1),0)),IF($G19="",0,IFERROR(WORKDAY(INDEX($L$3:$L$18,MATCH($G19,$A$3:$A$18,0)),1),0)),IF($H19="",0,IFERROR(WORKDAY(INDEX($L$3:$L$18,MATCH($H19,$A$3:$A$18,0)),1),0)))))</f>
        <v/>
      </c>
      <c r="L19" s="9" t="str">
        <f aca="false">IF($A19="","",WORKDAY($K19,$I19-1))</f>
        <v/>
      </c>
      <c r="M19" s="9" t="str">
        <f aca="false">IF($A19="","",WORKDAY($N19,-($I19-1)))</f>
        <v/>
      </c>
      <c r="N19" s="9" t="str">
        <f aca="false">IF($A19="","",IF(COUNTIF($F$20:$F$102,$A19)+COUNTIF($G$20:$G$102,$A19)+COUNTIF($H$20:$H$102,$A19)=0,設定!$B$3,MIN(IF(COUNTIF($F$20:$F$102,$A19)=0,999999,IFERROR(WORKDAY(_xlfn.MINIFS($M$20:$M$102,$F$20:$F$102,$A19),-1),999999)),IF(COUNTIF($G$20:$G$102,$A19)=0,999999,IFERROR(WORKDAY(_xlfn.MINIFS($M$20:$M$102,$G$20:$G$102,$A19),-1),999999)),IF(COUNTIF($H$20:$H$102,$A19)=0,999999,IFERROR(WORKDAY(_xlfn.MINIFS($M$20:$M$102,$H$20:$H$102,$A19),-1),999999)))))</f>
        <v/>
      </c>
      <c r="O19" s="22" t="str">
        <f aca="false">IF($A19="","",NETWORKDAYS($K19,$M19)-1)</f>
        <v/>
      </c>
      <c r="P19" s="22" t="str">
        <f aca="false">IF($A19="","",IF($O19&lt;=0,"クリティカル",""))</f>
        <v/>
      </c>
      <c r="Q19" s="22" t="str">
        <f aca="true">IF($A19="","",IF(AND($J19&lt;&gt;"完了",TODAY()&gt;$L19),"遅延",""))</f>
        <v/>
      </c>
      <c r="R19" s="22" t="str">
        <f aca="false">IF($A19="","",_xlfn.TEXTJOIN(", ",TRUE(),IF($F19="","",IF(IFERROR(INDEX($J$3:$J$102,MATCH($F19,$A$3:$A$102,0)),"")&lt;&gt;"完了",IFERROR(INDEX($C$3:$C$102,MATCH($F19,$A$3:$A$102,0)),""),"")),IF($G19="","",IF(IFERROR(INDEX($J$3:$J$102,MATCH($G19,$A$3:$A$102,0)),"")&lt;&gt;"完了",IFERROR(INDEX($C$3:$C$102,MATCH($G19,$A$3:$A$102,0)),""),"")),IF($H19="","",IF(IFERROR(INDEX($J$3:$J$102,MATCH($H19,$A$3:$A$102,0)),"")&lt;&gt;"完了",IFERROR(INDEX($C$3:$C$102,MATCH($H19,$A$3:$A$102,0)),""),""))))</f>
        <v/>
      </c>
      <c r="S19" s="22" t="str">
        <f aca="false">IF($A19="","",IF($J19&lt;&gt;"完了",1,0))</f>
        <v/>
      </c>
    </row>
    <row r="20" customFormat="false" ht="15" hidden="false" customHeight="false" outlineLevel="0" collapsed="false">
      <c r="A20" s="16"/>
      <c r="B20" s="16"/>
      <c r="C20" s="16"/>
      <c r="D20" s="16"/>
      <c r="E20" s="16"/>
      <c r="F20" s="16"/>
      <c r="G20" s="16"/>
      <c r="H20" s="16"/>
      <c r="I20" s="21"/>
      <c r="J20" s="16"/>
      <c r="K20" s="9" t="str">
        <f aca="false">IF($A20="","",IF(AND($F20="",$G20="",$H20=""),設定!$B$2,MAX(IF($F20="",0,IFERROR(WORKDAY(INDEX($L$3:$L$19,MATCH($F20,$A$3:$A$19,0)),1),0)),IF($G20="",0,IFERROR(WORKDAY(INDEX($L$3:$L$19,MATCH($G20,$A$3:$A$19,0)),1),0)),IF($H20="",0,IFERROR(WORKDAY(INDEX($L$3:$L$19,MATCH($H20,$A$3:$A$19,0)),1),0)))))</f>
        <v/>
      </c>
      <c r="L20" s="9" t="str">
        <f aca="false">IF($A20="","",WORKDAY($K20,$I20-1))</f>
        <v/>
      </c>
      <c r="M20" s="9" t="str">
        <f aca="false">IF($A20="","",WORKDAY($N20,-($I20-1)))</f>
        <v/>
      </c>
      <c r="N20" s="9" t="str">
        <f aca="false">IF($A20="","",IF(COUNTIF($F$21:$F$102,$A20)+COUNTIF($G$21:$G$102,$A20)+COUNTIF($H$21:$H$102,$A20)=0,設定!$B$3,MIN(IF(COUNTIF($F$21:$F$102,$A20)=0,999999,IFERROR(WORKDAY(_xlfn.MINIFS($M$21:$M$102,$F$21:$F$102,$A20),-1),999999)),IF(COUNTIF($G$21:$G$102,$A20)=0,999999,IFERROR(WORKDAY(_xlfn.MINIFS($M$21:$M$102,$G$21:$G$102,$A20),-1),999999)),IF(COUNTIF($H$21:$H$102,$A20)=0,999999,IFERROR(WORKDAY(_xlfn.MINIFS($M$21:$M$102,$H$21:$H$102,$A20),-1),999999)))))</f>
        <v/>
      </c>
      <c r="O20" s="22" t="str">
        <f aca="false">IF($A20="","",NETWORKDAYS($K20,$M20)-1)</f>
        <v/>
      </c>
      <c r="P20" s="22" t="str">
        <f aca="false">IF($A20="","",IF($O20&lt;=0,"クリティカル",""))</f>
        <v/>
      </c>
      <c r="Q20" s="22" t="str">
        <f aca="true">IF($A20="","",IF(AND($J20&lt;&gt;"完了",TODAY()&gt;$L20),"遅延",""))</f>
        <v/>
      </c>
      <c r="R20" s="22" t="str">
        <f aca="false">IF($A20="","",_xlfn.TEXTJOIN(", ",TRUE(),IF($F20="","",IF(IFERROR(INDEX($J$3:$J$102,MATCH($F20,$A$3:$A$102,0)),"")&lt;&gt;"完了",IFERROR(INDEX($C$3:$C$102,MATCH($F20,$A$3:$A$102,0)),""),"")),IF($G20="","",IF(IFERROR(INDEX($J$3:$J$102,MATCH($G20,$A$3:$A$102,0)),"")&lt;&gt;"完了",IFERROR(INDEX($C$3:$C$102,MATCH($G20,$A$3:$A$102,0)),""),"")),IF($H20="","",IF(IFERROR(INDEX($J$3:$J$102,MATCH($H20,$A$3:$A$102,0)),"")&lt;&gt;"完了",IFERROR(INDEX($C$3:$C$102,MATCH($H20,$A$3:$A$102,0)),""),""))))</f>
        <v/>
      </c>
      <c r="S20" s="22" t="str">
        <f aca="false">IF($A20="","",IF($J20&lt;&gt;"完了",1,0))</f>
        <v/>
      </c>
    </row>
    <row r="21" customFormat="false" ht="15" hidden="false" customHeight="false" outlineLevel="0" collapsed="false">
      <c r="A21" s="16"/>
      <c r="B21" s="16"/>
      <c r="C21" s="16"/>
      <c r="D21" s="16"/>
      <c r="E21" s="16"/>
      <c r="F21" s="16"/>
      <c r="G21" s="16"/>
      <c r="H21" s="16"/>
      <c r="I21" s="21"/>
      <c r="J21" s="16"/>
      <c r="K21" s="9" t="str">
        <f aca="false">IF($A21="","",IF(AND($F21="",$G21="",$H21=""),設定!$B$2,MAX(IF($F21="",0,IFERROR(WORKDAY(INDEX($L$3:$L$20,MATCH($F21,$A$3:$A$20,0)),1),0)),IF($G21="",0,IFERROR(WORKDAY(INDEX($L$3:$L$20,MATCH($G21,$A$3:$A$20,0)),1),0)),IF($H21="",0,IFERROR(WORKDAY(INDEX($L$3:$L$20,MATCH($H21,$A$3:$A$20,0)),1),0)))))</f>
        <v/>
      </c>
      <c r="L21" s="9" t="str">
        <f aca="false">IF($A21="","",WORKDAY($K21,$I21-1))</f>
        <v/>
      </c>
      <c r="M21" s="9" t="str">
        <f aca="false">IF($A21="","",WORKDAY($N21,-($I21-1)))</f>
        <v/>
      </c>
      <c r="N21" s="9" t="str">
        <f aca="false">IF($A21="","",IF(COUNTIF($F$22:$F$102,$A21)+COUNTIF($G$22:$G$102,$A21)+COUNTIF($H$22:$H$102,$A21)=0,設定!$B$3,MIN(IF(COUNTIF($F$22:$F$102,$A21)=0,999999,IFERROR(WORKDAY(_xlfn.MINIFS($M$22:$M$102,$F$22:$F$102,$A21),-1),999999)),IF(COUNTIF($G$22:$G$102,$A21)=0,999999,IFERROR(WORKDAY(_xlfn.MINIFS($M$22:$M$102,$G$22:$G$102,$A21),-1),999999)),IF(COUNTIF($H$22:$H$102,$A21)=0,999999,IFERROR(WORKDAY(_xlfn.MINIFS($M$22:$M$102,$H$22:$H$102,$A21),-1),999999)))))</f>
        <v/>
      </c>
      <c r="O21" s="22" t="str">
        <f aca="false">IF($A21="","",NETWORKDAYS($K21,$M21)-1)</f>
        <v/>
      </c>
      <c r="P21" s="22" t="str">
        <f aca="false">IF($A21="","",IF($O21&lt;=0,"クリティカル",""))</f>
        <v/>
      </c>
      <c r="Q21" s="22" t="str">
        <f aca="true">IF($A21="","",IF(AND($J21&lt;&gt;"完了",TODAY()&gt;$L21),"遅延",""))</f>
        <v/>
      </c>
      <c r="R21" s="22" t="str">
        <f aca="false">IF($A21="","",_xlfn.TEXTJOIN(", ",TRUE(),IF($F21="","",IF(IFERROR(INDEX($J$3:$J$102,MATCH($F21,$A$3:$A$102,0)),"")&lt;&gt;"完了",IFERROR(INDEX($C$3:$C$102,MATCH($F21,$A$3:$A$102,0)),""),"")),IF($G21="","",IF(IFERROR(INDEX($J$3:$J$102,MATCH($G21,$A$3:$A$102,0)),"")&lt;&gt;"完了",IFERROR(INDEX($C$3:$C$102,MATCH($G21,$A$3:$A$102,0)),""),"")),IF($H21="","",IF(IFERROR(INDEX($J$3:$J$102,MATCH($H21,$A$3:$A$102,0)),"")&lt;&gt;"完了",IFERROR(INDEX($C$3:$C$102,MATCH($H21,$A$3:$A$102,0)),""),""))))</f>
        <v/>
      </c>
      <c r="S21" s="22" t="str">
        <f aca="false">IF($A21="","",IF($J21&lt;&gt;"完了",1,0))</f>
        <v/>
      </c>
    </row>
    <row r="22" customFormat="false" ht="15" hidden="false" customHeight="false" outlineLevel="0" collapsed="false">
      <c r="A22" s="16"/>
      <c r="B22" s="16"/>
      <c r="C22" s="16"/>
      <c r="D22" s="16"/>
      <c r="E22" s="16"/>
      <c r="F22" s="16"/>
      <c r="G22" s="16"/>
      <c r="H22" s="16"/>
      <c r="I22" s="21"/>
      <c r="J22" s="16"/>
      <c r="K22" s="9" t="str">
        <f aca="false">IF($A22="","",IF(AND($F22="",$G22="",$H22=""),設定!$B$2,MAX(IF($F22="",0,IFERROR(WORKDAY(INDEX($L$3:$L$21,MATCH($F22,$A$3:$A$21,0)),1),0)),IF($G22="",0,IFERROR(WORKDAY(INDEX($L$3:$L$21,MATCH($G22,$A$3:$A$21,0)),1),0)),IF($H22="",0,IFERROR(WORKDAY(INDEX($L$3:$L$21,MATCH($H22,$A$3:$A$21,0)),1),0)))))</f>
        <v/>
      </c>
      <c r="L22" s="9" t="str">
        <f aca="false">IF($A22="","",WORKDAY($K22,$I22-1))</f>
        <v/>
      </c>
      <c r="M22" s="9" t="str">
        <f aca="false">IF($A22="","",WORKDAY($N22,-($I22-1)))</f>
        <v/>
      </c>
      <c r="N22" s="9" t="str">
        <f aca="false">IF($A22="","",IF(COUNTIF($F$23:$F$102,$A22)+COUNTIF($G$23:$G$102,$A22)+COUNTIF($H$23:$H$102,$A22)=0,設定!$B$3,MIN(IF(COUNTIF($F$23:$F$102,$A22)=0,999999,IFERROR(WORKDAY(_xlfn.MINIFS($M$23:$M$102,$F$23:$F$102,$A22),-1),999999)),IF(COUNTIF($G$23:$G$102,$A22)=0,999999,IFERROR(WORKDAY(_xlfn.MINIFS($M$23:$M$102,$G$23:$G$102,$A22),-1),999999)),IF(COUNTIF($H$23:$H$102,$A22)=0,999999,IFERROR(WORKDAY(_xlfn.MINIFS($M$23:$M$102,$H$23:$H$102,$A22),-1),999999)))))</f>
        <v/>
      </c>
      <c r="O22" s="22" t="str">
        <f aca="false">IF($A22="","",NETWORKDAYS($K22,$M22)-1)</f>
        <v/>
      </c>
      <c r="P22" s="22" t="str">
        <f aca="false">IF($A22="","",IF($O22&lt;=0,"クリティカル",""))</f>
        <v/>
      </c>
      <c r="Q22" s="22" t="str">
        <f aca="true">IF($A22="","",IF(AND($J22&lt;&gt;"完了",TODAY()&gt;$L22),"遅延",""))</f>
        <v/>
      </c>
      <c r="R22" s="22" t="str">
        <f aca="false">IF($A22="","",_xlfn.TEXTJOIN(", ",TRUE(),IF($F22="","",IF(IFERROR(INDEX($J$3:$J$102,MATCH($F22,$A$3:$A$102,0)),"")&lt;&gt;"完了",IFERROR(INDEX($C$3:$C$102,MATCH($F22,$A$3:$A$102,0)),""),"")),IF($G22="","",IF(IFERROR(INDEX($J$3:$J$102,MATCH($G22,$A$3:$A$102,0)),"")&lt;&gt;"完了",IFERROR(INDEX($C$3:$C$102,MATCH($G22,$A$3:$A$102,0)),""),"")),IF($H22="","",IF(IFERROR(INDEX($J$3:$J$102,MATCH($H22,$A$3:$A$102,0)),"")&lt;&gt;"完了",IFERROR(INDEX($C$3:$C$102,MATCH($H22,$A$3:$A$102,0)),""),""))))</f>
        <v/>
      </c>
      <c r="S22" s="22" t="str">
        <f aca="false">IF($A22="","",IF($J22&lt;&gt;"完了",1,0))</f>
        <v/>
      </c>
    </row>
    <row r="23" customFormat="false" ht="15" hidden="false" customHeight="false" outlineLevel="0" collapsed="false">
      <c r="A23" s="16"/>
      <c r="B23" s="16"/>
      <c r="C23" s="16"/>
      <c r="D23" s="16"/>
      <c r="E23" s="16"/>
      <c r="F23" s="16"/>
      <c r="G23" s="16"/>
      <c r="H23" s="16"/>
      <c r="I23" s="21"/>
      <c r="J23" s="16"/>
      <c r="K23" s="9" t="str">
        <f aca="false">IF($A23="","",IF(AND($F23="",$G23="",$H23=""),設定!$B$2,MAX(IF($F23="",0,IFERROR(WORKDAY(INDEX($L$3:$L$22,MATCH($F23,$A$3:$A$22,0)),1),0)),IF($G23="",0,IFERROR(WORKDAY(INDEX($L$3:$L$22,MATCH($G23,$A$3:$A$22,0)),1),0)),IF($H23="",0,IFERROR(WORKDAY(INDEX($L$3:$L$22,MATCH($H23,$A$3:$A$22,0)),1),0)))))</f>
        <v/>
      </c>
      <c r="L23" s="9" t="str">
        <f aca="false">IF($A23="","",WORKDAY($K23,$I23-1))</f>
        <v/>
      </c>
      <c r="M23" s="9" t="str">
        <f aca="false">IF($A23="","",WORKDAY($N23,-($I23-1)))</f>
        <v/>
      </c>
      <c r="N23" s="9" t="str">
        <f aca="false">IF($A23="","",IF(COUNTIF($F$24:$F$102,$A23)+COUNTIF($G$24:$G$102,$A23)+COUNTIF($H$24:$H$102,$A23)=0,設定!$B$3,MIN(IF(COUNTIF($F$24:$F$102,$A23)=0,999999,IFERROR(WORKDAY(_xlfn.MINIFS($M$24:$M$102,$F$24:$F$102,$A23),-1),999999)),IF(COUNTIF($G$24:$G$102,$A23)=0,999999,IFERROR(WORKDAY(_xlfn.MINIFS($M$24:$M$102,$G$24:$G$102,$A23),-1),999999)),IF(COUNTIF($H$24:$H$102,$A23)=0,999999,IFERROR(WORKDAY(_xlfn.MINIFS($M$24:$M$102,$H$24:$H$102,$A23),-1),999999)))))</f>
        <v/>
      </c>
      <c r="O23" s="22" t="str">
        <f aca="false">IF($A23="","",NETWORKDAYS($K23,$M23)-1)</f>
        <v/>
      </c>
      <c r="P23" s="22" t="str">
        <f aca="false">IF($A23="","",IF($O23&lt;=0,"クリティカル",""))</f>
        <v/>
      </c>
      <c r="Q23" s="22" t="str">
        <f aca="true">IF($A23="","",IF(AND($J23&lt;&gt;"完了",TODAY()&gt;$L23),"遅延",""))</f>
        <v/>
      </c>
      <c r="R23" s="22" t="str">
        <f aca="false">IF($A23="","",_xlfn.TEXTJOIN(", ",TRUE(),IF($F23="","",IF(IFERROR(INDEX($J$3:$J$102,MATCH($F23,$A$3:$A$102,0)),"")&lt;&gt;"完了",IFERROR(INDEX($C$3:$C$102,MATCH($F23,$A$3:$A$102,0)),""),"")),IF($G23="","",IF(IFERROR(INDEX($J$3:$J$102,MATCH($G23,$A$3:$A$102,0)),"")&lt;&gt;"完了",IFERROR(INDEX($C$3:$C$102,MATCH($G23,$A$3:$A$102,0)),""),"")),IF($H23="","",IF(IFERROR(INDEX($J$3:$J$102,MATCH($H23,$A$3:$A$102,0)),"")&lt;&gt;"完了",IFERROR(INDEX($C$3:$C$102,MATCH($H23,$A$3:$A$102,0)),""),""))))</f>
        <v/>
      </c>
      <c r="S23" s="22" t="str">
        <f aca="false">IF($A23="","",IF($J23&lt;&gt;"完了",1,0))</f>
        <v/>
      </c>
    </row>
    <row r="24" customFormat="false" ht="15" hidden="false" customHeight="false" outlineLevel="0" collapsed="false">
      <c r="A24" s="16"/>
      <c r="B24" s="16"/>
      <c r="C24" s="16"/>
      <c r="D24" s="16"/>
      <c r="E24" s="16"/>
      <c r="F24" s="16"/>
      <c r="G24" s="16"/>
      <c r="H24" s="16"/>
      <c r="I24" s="21"/>
      <c r="J24" s="16"/>
      <c r="K24" s="9" t="str">
        <f aca="false">IF($A24="","",IF(AND($F24="",$G24="",$H24=""),設定!$B$2,MAX(IF($F24="",0,IFERROR(WORKDAY(INDEX($L$3:$L$23,MATCH($F24,$A$3:$A$23,0)),1),0)),IF($G24="",0,IFERROR(WORKDAY(INDEX($L$3:$L$23,MATCH($G24,$A$3:$A$23,0)),1),0)),IF($H24="",0,IFERROR(WORKDAY(INDEX($L$3:$L$23,MATCH($H24,$A$3:$A$23,0)),1),0)))))</f>
        <v/>
      </c>
      <c r="L24" s="9" t="str">
        <f aca="false">IF($A24="","",WORKDAY($K24,$I24-1))</f>
        <v/>
      </c>
      <c r="M24" s="9" t="str">
        <f aca="false">IF($A24="","",WORKDAY($N24,-($I24-1)))</f>
        <v/>
      </c>
      <c r="N24" s="9" t="str">
        <f aca="false">IF($A24="","",IF(COUNTIF($F$25:$F$102,$A24)+COUNTIF($G$25:$G$102,$A24)+COUNTIF($H$25:$H$102,$A24)=0,設定!$B$3,MIN(IF(COUNTIF($F$25:$F$102,$A24)=0,999999,IFERROR(WORKDAY(_xlfn.MINIFS($M$25:$M$102,$F$25:$F$102,$A24),-1),999999)),IF(COUNTIF($G$25:$G$102,$A24)=0,999999,IFERROR(WORKDAY(_xlfn.MINIFS($M$25:$M$102,$G$25:$G$102,$A24),-1),999999)),IF(COUNTIF($H$25:$H$102,$A24)=0,999999,IFERROR(WORKDAY(_xlfn.MINIFS($M$25:$M$102,$H$25:$H$102,$A24),-1),999999)))))</f>
        <v/>
      </c>
      <c r="O24" s="22" t="str">
        <f aca="false">IF($A24="","",NETWORKDAYS($K24,$M24)-1)</f>
        <v/>
      </c>
      <c r="P24" s="22" t="str">
        <f aca="false">IF($A24="","",IF($O24&lt;=0,"クリティカル",""))</f>
        <v/>
      </c>
      <c r="Q24" s="22" t="str">
        <f aca="true">IF($A24="","",IF(AND($J24&lt;&gt;"完了",TODAY()&gt;$L24),"遅延",""))</f>
        <v/>
      </c>
      <c r="R24" s="22" t="str">
        <f aca="false">IF($A24="","",_xlfn.TEXTJOIN(", ",TRUE(),IF($F24="","",IF(IFERROR(INDEX($J$3:$J$102,MATCH($F24,$A$3:$A$102,0)),"")&lt;&gt;"完了",IFERROR(INDEX($C$3:$C$102,MATCH($F24,$A$3:$A$102,0)),""),"")),IF($G24="","",IF(IFERROR(INDEX($J$3:$J$102,MATCH($G24,$A$3:$A$102,0)),"")&lt;&gt;"完了",IFERROR(INDEX($C$3:$C$102,MATCH($G24,$A$3:$A$102,0)),""),"")),IF($H24="","",IF(IFERROR(INDEX($J$3:$J$102,MATCH($H24,$A$3:$A$102,0)),"")&lt;&gt;"完了",IFERROR(INDEX($C$3:$C$102,MATCH($H24,$A$3:$A$102,0)),""),""))))</f>
        <v/>
      </c>
      <c r="S24" s="22" t="str">
        <f aca="false">IF($A24="","",IF($J24&lt;&gt;"完了",1,0))</f>
        <v/>
      </c>
    </row>
    <row r="25" customFormat="false" ht="15" hidden="false" customHeight="false" outlineLevel="0" collapsed="false">
      <c r="A25" s="16"/>
      <c r="B25" s="16"/>
      <c r="C25" s="16"/>
      <c r="D25" s="16"/>
      <c r="E25" s="16"/>
      <c r="F25" s="16"/>
      <c r="G25" s="16"/>
      <c r="H25" s="16"/>
      <c r="I25" s="21"/>
      <c r="J25" s="16"/>
      <c r="K25" s="9" t="str">
        <f aca="false">IF($A25="","",IF(AND($F25="",$G25="",$H25=""),設定!$B$2,MAX(IF($F25="",0,IFERROR(WORKDAY(INDEX($L$3:$L$24,MATCH($F25,$A$3:$A$24,0)),1),0)),IF($G25="",0,IFERROR(WORKDAY(INDEX($L$3:$L$24,MATCH($G25,$A$3:$A$24,0)),1),0)),IF($H25="",0,IFERROR(WORKDAY(INDEX($L$3:$L$24,MATCH($H25,$A$3:$A$24,0)),1),0)))))</f>
        <v/>
      </c>
      <c r="L25" s="9" t="str">
        <f aca="false">IF($A25="","",WORKDAY($K25,$I25-1))</f>
        <v/>
      </c>
      <c r="M25" s="9" t="str">
        <f aca="false">IF($A25="","",WORKDAY($N25,-($I25-1)))</f>
        <v/>
      </c>
      <c r="N25" s="9" t="str">
        <f aca="false">IF($A25="","",IF(COUNTIF($F$26:$F$102,$A25)+COUNTIF($G$26:$G$102,$A25)+COUNTIF($H$26:$H$102,$A25)=0,設定!$B$3,MIN(IF(COUNTIF($F$26:$F$102,$A25)=0,999999,IFERROR(WORKDAY(_xlfn.MINIFS($M$26:$M$102,$F$26:$F$102,$A25),-1),999999)),IF(COUNTIF($G$26:$G$102,$A25)=0,999999,IFERROR(WORKDAY(_xlfn.MINIFS($M$26:$M$102,$G$26:$G$102,$A25),-1),999999)),IF(COUNTIF($H$26:$H$102,$A25)=0,999999,IFERROR(WORKDAY(_xlfn.MINIFS($M$26:$M$102,$H$26:$H$102,$A25),-1),999999)))))</f>
        <v/>
      </c>
      <c r="O25" s="22" t="str">
        <f aca="false">IF($A25="","",NETWORKDAYS($K25,$M25)-1)</f>
        <v/>
      </c>
      <c r="P25" s="22" t="str">
        <f aca="false">IF($A25="","",IF($O25&lt;=0,"クリティカル",""))</f>
        <v/>
      </c>
      <c r="Q25" s="22" t="str">
        <f aca="true">IF($A25="","",IF(AND($J25&lt;&gt;"完了",TODAY()&gt;$L25),"遅延",""))</f>
        <v/>
      </c>
      <c r="R25" s="22" t="str">
        <f aca="false">IF($A25="","",_xlfn.TEXTJOIN(", ",TRUE(),IF($F25="","",IF(IFERROR(INDEX($J$3:$J$102,MATCH($F25,$A$3:$A$102,0)),"")&lt;&gt;"完了",IFERROR(INDEX($C$3:$C$102,MATCH($F25,$A$3:$A$102,0)),""),"")),IF($G25="","",IF(IFERROR(INDEX($J$3:$J$102,MATCH($G25,$A$3:$A$102,0)),"")&lt;&gt;"完了",IFERROR(INDEX($C$3:$C$102,MATCH($G25,$A$3:$A$102,0)),""),"")),IF($H25="","",IF(IFERROR(INDEX($J$3:$J$102,MATCH($H25,$A$3:$A$102,0)),"")&lt;&gt;"完了",IFERROR(INDEX($C$3:$C$102,MATCH($H25,$A$3:$A$102,0)),""),""))))</f>
        <v/>
      </c>
      <c r="S25" s="22" t="str">
        <f aca="false">IF($A25="","",IF($J25&lt;&gt;"完了",1,0))</f>
        <v/>
      </c>
    </row>
    <row r="26" customFormat="false" ht="15" hidden="false" customHeight="false" outlineLevel="0" collapsed="false">
      <c r="A26" s="16"/>
      <c r="B26" s="16"/>
      <c r="C26" s="16"/>
      <c r="D26" s="16"/>
      <c r="E26" s="16"/>
      <c r="F26" s="16"/>
      <c r="G26" s="16"/>
      <c r="H26" s="16"/>
      <c r="I26" s="21"/>
      <c r="J26" s="16"/>
      <c r="K26" s="9" t="str">
        <f aca="false">IF($A26="","",IF(AND($F26="",$G26="",$H26=""),設定!$B$2,MAX(IF($F26="",0,IFERROR(WORKDAY(INDEX($L$3:$L$25,MATCH($F26,$A$3:$A$25,0)),1),0)),IF($G26="",0,IFERROR(WORKDAY(INDEX($L$3:$L$25,MATCH($G26,$A$3:$A$25,0)),1),0)),IF($H26="",0,IFERROR(WORKDAY(INDEX($L$3:$L$25,MATCH($H26,$A$3:$A$25,0)),1),0)))))</f>
        <v/>
      </c>
      <c r="L26" s="9" t="str">
        <f aca="false">IF($A26="","",WORKDAY($K26,$I26-1))</f>
        <v/>
      </c>
      <c r="M26" s="9" t="str">
        <f aca="false">IF($A26="","",WORKDAY($N26,-($I26-1)))</f>
        <v/>
      </c>
      <c r="N26" s="9" t="str">
        <f aca="false">IF($A26="","",IF(COUNTIF($F$27:$F$102,$A26)+COUNTIF($G$27:$G$102,$A26)+COUNTIF($H$27:$H$102,$A26)=0,設定!$B$3,MIN(IF(COUNTIF($F$27:$F$102,$A26)=0,999999,IFERROR(WORKDAY(_xlfn.MINIFS($M$27:$M$102,$F$27:$F$102,$A26),-1),999999)),IF(COUNTIF($G$27:$G$102,$A26)=0,999999,IFERROR(WORKDAY(_xlfn.MINIFS($M$27:$M$102,$G$27:$G$102,$A26),-1),999999)),IF(COUNTIF($H$27:$H$102,$A26)=0,999999,IFERROR(WORKDAY(_xlfn.MINIFS($M$27:$M$102,$H$27:$H$102,$A26),-1),999999)))))</f>
        <v/>
      </c>
      <c r="O26" s="22" t="str">
        <f aca="false">IF($A26="","",NETWORKDAYS($K26,$M26)-1)</f>
        <v/>
      </c>
      <c r="P26" s="22" t="str">
        <f aca="false">IF($A26="","",IF($O26&lt;=0,"クリティカル",""))</f>
        <v/>
      </c>
      <c r="Q26" s="22" t="str">
        <f aca="true">IF($A26="","",IF(AND($J26&lt;&gt;"完了",TODAY()&gt;$L26),"遅延",""))</f>
        <v/>
      </c>
      <c r="R26" s="22" t="str">
        <f aca="false">IF($A26="","",_xlfn.TEXTJOIN(", ",TRUE(),IF($F26="","",IF(IFERROR(INDEX($J$3:$J$102,MATCH($F26,$A$3:$A$102,0)),"")&lt;&gt;"完了",IFERROR(INDEX($C$3:$C$102,MATCH($F26,$A$3:$A$102,0)),""),"")),IF($G26="","",IF(IFERROR(INDEX($J$3:$J$102,MATCH($G26,$A$3:$A$102,0)),"")&lt;&gt;"完了",IFERROR(INDEX($C$3:$C$102,MATCH($G26,$A$3:$A$102,0)),""),"")),IF($H26="","",IF(IFERROR(INDEX($J$3:$J$102,MATCH($H26,$A$3:$A$102,0)),"")&lt;&gt;"完了",IFERROR(INDEX($C$3:$C$102,MATCH($H26,$A$3:$A$102,0)),""),""))))</f>
        <v/>
      </c>
      <c r="S26" s="22" t="str">
        <f aca="false">IF($A26="","",IF($J26&lt;&gt;"完了",1,0))</f>
        <v/>
      </c>
    </row>
    <row r="27" customFormat="false" ht="15" hidden="false" customHeight="false" outlineLevel="0" collapsed="false">
      <c r="A27" s="16"/>
      <c r="B27" s="16"/>
      <c r="C27" s="16"/>
      <c r="D27" s="16"/>
      <c r="E27" s="16"/>
      <c r="F27" s="16"/>
      <c r="G27" s="16"/>
      <c r="H27" s="16"/>
      <c r="I27" s="21"/>
      <c r="J27" s="16"/>
      <c r="K27" s="9" t="str">
        <f aca="false">IF($A27="","",IF(AND($F27="",$G27="",$H27=""),設定!$B$2,MAX(IF($F27="",0,IFERROR(WORKDAY(INDEX($L$3:$L$26,MATCH($F27,$A$3:$A$26,0)),1),0)),IF($G27="",0,IFERROR(WORKDAY(INDEX($L$3:$L$26,MATCH($G27,$A$3:$A$26,0)),1),0)),IF($H27="",0,IFERROR(WORKDAY(INDEX($L$3:$L$26,MATCH($H27,$A$3:$A$26,0)),1),0)))))</f>
        <v/>
      </c>
      <c r="L27" s="9" t="str">
        <f aca="false">IF($A27="","",WORKDAY($K27,$I27-1))</f>
        <v/>
      </c>
      <c r="M27" s="9" t="str">
        <f aca="false">IF($A27="","",WORKDAY($N27,-($I27-1)))</f>
        <v/>
      </c>
      <c r="N27" s="9" t="str">
        <f aca="false">IF($A27="","",IF(COUNTIF($F$28:$F$102,$A27)+COUNTIF($G$28:$G$102,$A27)+COUNTIF($H$28:$H$102,$A27)=0,設定!$B$3,MIN(IF(COUNTIF($F$28:$F$102,$A27)=0,999999,IFERROR(WORKDAY(_xlfn.MINIFS($M$28:$M$102,$F$28:$F$102,$A27),-1),999999)),IF(COUNTIF($G$28:$G$102,$A27)=0,999999,IFERROR(WORKDAY(_xlfn.MINIFS($M$28:$M$102,$G$28:$G$102,$A27),-1),999999)),IF(COUNTIF($H$28:$H$102,$A27)=0,999999,IFERROR(WORKDAY(_xlfn.MINIFS($M$28:$M$102,$H$28:$H$102,$A27),-1),999999)))))</f>
        <v/>
      </c>
      <c r="O27" s="22" t="str">
        <f aca="false">IF($A27="","",NETWORKDAYS($K27,$M27)-1)</f>
        <v/>
      </c>
      <c r="P27" s="22" t="str">
        <f aca="false">IF($A27="","",IF($O27&lt;=0,"クリティカル",""))</f>
        <v/>
      </c>
      <c r="Q27" s="22" t="str">
        <f aca="true">IF($A27="","",IF(AND($J27&lt;&gt;"完了",TODAY()&gt;$L27),"遅延",""))</f>
        <v/>
      </c>
      <c r="R27" s="22" t="str">
        <f aca="false">IF($A27="","",_xlfn.TEXTJOIN(", ",TRUE(),IF($F27="","",IF(IFERROR(INDEX($J$3:$J$102,MATCH($F27,$A$3:$A$102,0)),"")&lt;&gt;"完了",IFERROR(INDEX($C$3:$C$102,MATCH($F27,$A$3:$A$102,0)),""),"")),IF($G27="","",IF(IFERROR(INDEX($J$3:$J$102,MATCH($G27,$A$3:$A$102,0)),"")&lt;&gt;"完了",IFERROR(INDEX($C$3:$C$102,MATCH($G27,$A$3:$A$102,0)),""),"")),IF($H27="","",IF(IFERROR(INDEX($J$3:$J$102,MATCH($H27,$A$3:$A$102,0)),"")&lt;&gt;"完了",IFERROR(INDEX($C$3:$C$102,MATCH($H27,$A$3:$A$102,0)),""),""))))</f>
        <v/>
      </c>
      <c r="S27" s="22" t="str">
        <f aca="false">IF($A27="","",IF($J27&lt;&gt;"完了",1,0))</f>
        <v/>
      </c>
    </row>
    <row r="28" customFormat="false" ht="15" hidden="false" customHeight="false" outlineLevel="0" collapsed="false">
      <c r="A28" s="16"/>
      <c r="B28" s="16"/>
      <c r="C28" s="16"/>
      <c r="D28" s="16"/>
      <c r="E28" s="16"/>
      <c r="F28" s="16"/>
      <c r="G28" s="16"/>
      <c r="H28" s="16"/>
      <c r="I28" s="21"/>
      <c r="J28" s="16"/>
      <c r="K28" s="9" t="str">
        <f aca="false">IF($A28="","",IF(AND($F28="",$G28="",$H28=""),設定!$B$2,MAX(IF($F28="",0,IFERROR(WORKDAY(INDEX($L$3:$L$27,MATCH($F28,$A$3:$A$27,0)),1),0)),IF($G28="",0,IFERROR(WORKDAY(INDEX($L$3:$L$27,MATCH($G28,$A$3:$A$27,0)),1),0)),IF($H28="",0,IFERROR(WORKDAY(INDEX($L$3:$L$27,MATCH($H28,$A$3:$A$27,0)),1),0)))))</f>
        <v/>
      </c>
      <c r="L28" s="9" t="str">
        <f aca="false">IF($A28="","",WORKDAY($K28,$I28-1))</f>
        <v/>
      </c>
      <c r="M28" s="9" t="str">
        <f aca="false">IF($A28="","",WORKDAY($N28,-($I28-1)))</f>
        <v/>
      </c>
      <c r="N28" s="9" t="str">
        <f aca="false">IF($A28="","",IF(COUNTIF($F$29:$F$102,$A28)+COUNTIF($G$29:$G$102,$A28)+COUNTIF($H$29:$H$102,$A28)=0,設定!$B$3,MIN(IF(COUNTIF($F$29:$F$102,$A28)=0,999999,IFERROR(WORKDAY(_xlfn.MINIFS($M$29:$M$102,$F$29:$F$102,$A28),-1),999999)),IF(COUNTIF($G$29:$G$102,$A28)=0,999999,IFERROR(WORKDAY(_xlfn.MINIFS($M$29:$M$102,$G$29:$G$102,$A28),-1),999999)),IF(COUNTIF($H$29:$H$102,$A28)=0,999999,IFERROR(WORKDAY(_xlfn.MINIFS($M$29:$M$102,$H$29:$H$102,$A28),-1),999999)))))</f>
        <v/>
      </c>
      <c r="O28" s="22" t="str">
        <f aca="false">IF($A28="","",NETWORKDAYS($K28,$M28)-1)</f>
        <v/>
      </c>
      <c r="P28" s="22" t="str">
        <f aca="false">IF($A28="","",IF($O28&lt;=0,"クリティカル",""))</f>
        <v/>
      </c>
      <c r="Q28" s="22" t="str">
        <f aca="true">IF($A28="","",IF(AND($J28&lt;&gt;"完了",TODAY()&gt;$L28),"遅延",""))</f>
        <v/>
      </c>
      <c r="R28" s="22" t="str">
        <f aca="false">IF($A28="","",_xlfn.TEXTJOIN(", ",TRUE(),IF($F28="","",IF(IFERROR(INDEX($J$3:$J$102,MATCH($F28,$A$3:$A$102,0)),"")&lt;&gt;"完了",IFERROR(INDEX($C$3:$C$102,MATCH($F28,$A$3:$A$102,0)),""),"")),IF($G28="","",IF(IFERROR(INDEX($J$3:$J$102,MATCH($G28,$A$3:$A$102,0)),"")&lt;&gt;"完了",IFERROR(INDEX($C$3:$C$102,MATCH($G28,$A$3:$A$102,0)),""),"")),IF($H28="","",IF(IFERROR(INDEX($J$3:$J$102,MATCH($H28,$A$3:$A$102,0)),"")&lt;&gt;"完了",IFERROR(INDEX($C$3:$C$102,MATCH($H28,$A$3:$A$102,0)),""),""))))</f>
        <v/>
      </c>
      <c r="S28" s="22" t="str">
        <f aca="false">IF($A28="","",IF($J28&lt;&gt;"完了",1,0))</f>
        <v/>
      </c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  <c r="G29" s="16"/>
      <c r="H29" s="16"/>
      <c r="I29" s="21"/>
      <c r="J29" s="16"/>
      <c r="K29" s="9" t="str">
        <f aca="false">IF($A29="","",IF(AND($F29="",$G29="",$H29=""),設定!$B$2,MAX(IF($F29="",0,IFERROR(WORKDAY(INDEX($L$3:$L$28,MATCH($F29,$A$3:$A$28,0)),1),0)),IF($G29="",0,IFERROR(WORKDAY(INDEX($L$3:$L$28,MATCH($G29,$A$3:$A$28,0)),1),0)),IF($H29="",0,IFERROR(WORKDAY(INDEX($L$3:$L$28,MATCH($H29,$A$3:$A$28,0)),1),0)))))</f>
        <v/>
      </c>
      <c r="L29" s="9" t="str">
        <f aca="false">IF($A29="","",WORKDAY($K29,$I29-1))</f>
        <v/>
      </c>
      <c r="M29" s="9" t="str">
        <f aca="false">IF($A29="","",WORKDAY($N29,-($I29-1)))</f>
        <v/>
      </c>
      <c r="N29" s="9" t="str">
        <f aca="false">IF($A29="","",IF(COUNTIF($F$30:$F$102,$A29)+COUNTIF($G$30:$G$102,$A29)+COUNTIF($H$30:$H$102,$A29)=0,設定!$B$3,MIN(IF(COUNTIF($F$30:$F$102,$A29)=0,999999,IFERROR(WORKDAY(_xlfn.MINIFS($M$30:$M$102,$F$30:$F$102,$A29),-1),999999)),IF(COUNTIF($G$30:$G$102,$A29)=0,999999,IFERROR(WORKDAY(_xlfn.MINIFS($M$30:$M$102,$G$30:$G$102,$A29),-1),999999)),IF(COUNTIF($H$30:$H$102,$A29)=0,999999,IFERROR(WORKDAY(_xlfn.MINIFS($M$30:$M$102,$H$30:$H$102,$A29),-1),999999)))))</f>
        <v/>
      </c>
      <c r="O29" s="22" t="str">
        <f aca="false">IF($A29="","",NETWORKDAYS($K29,$M29)-1)</f>
        <v/>
      </c>
      <c r="P29" s="22" t="str">
        <f aca="false">IF($A29="","",IF($O29&lt;=0,"クリティカル",""))</f>
        <v/>
      </c>
      <c r="Q29" s="22" t="str">
        <f aca="true">IF($A29="","",IF(AND($J29&lt;&gt;"完了",TODAY()&gt;$L29),"遅延",""))</f>
        <v/>
      </c>
      <c r="R29" s="22" t="str">
        <f aca="false">IF($A29="","",_xlfn.TEXTJOIN(", ",TRUE(),IF($F29="","",IF(IFERROR(INDEX($J$3:$J$102,MATCH($F29,$A$3:$A$102,0)),"")&lt;&gt;"完了",IFERROR(INDEX($C$3:$C$102,MATCH($F29,$A$3:$A$102,0)),""),"")),IF($G29="","",IF(IFERROR(INDEX($J$3:$J$102,MATCH($G29,$A$3:$A$102,0)),"")&lt;&gt;"完了",IFERROR(INDEX($C$3:$C$102,MATCH($G29,$A$3:$A$102,0)),""),"")),IF($H29="","",IF(IFERROR(INDEX($J$3:$J$102,MATCH($H29,$A$3:$A$102,0)),"")&lt;&gt;"完了",IFERROR(INDEX($C$3:$C$102,MATCH($H29,$A$3:$A$102,0)),""),""))))</f>
        <v/>
      </c>
      <c r="S29" s="22" t="str">
        <f aca="false">IF($A29="","",IF($J29&lt;&gt;"完了",1,0))</f>
        <v/>
      </c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  <c r="G30" s="16"/>
      <c r="H30" s="16"/>
      <c r="I30" s="21"/>
      <c r="J30" s="16"/>
      <c r="K30" s="9" t="str">
        <f aca="false">IF($A30="","",IF(AND($F30="",$G30="",$H30=""),設定!$B$2,MAX(IF($F30="",0,IFERROR(WORKDAY(INDEX($L$3:$L$29,MATCH($F30,$A$3:$A$29,0)),1),0)),IF($G30="",0,IFERROR(WORKDAY(INDEX($L$3:$L$29,MATCH($G30,$A$3:$A$29,0)),1),0)),IF($H30="",0,IFERROR(WORKDAY(INDEX($L$3:$L$29,MATCH($H30,$A$3:$A$29,0)),1),0)))))</f>
        <v/>
      </c>
      <c r="L30" s="9" t="str">
        <f aca="false">IF($A30="","",WORKDAY($K30,$I30-1))</f>
        <v/>
      </c>
      <c r="M30" s="9" t="str">
        <f aca="false">IF($A30="","",WORKDAY($N30,-($I30-1)))</f>
        <v/>
      </c>
      <c r="N30" s="9" t="str">
        <f aca="false">IF($A30="","",IF(COUNTIF($F$31:$F$102,$A30)+COUNTIF($G$31:$G$102,$A30)+COUNTIF($H$31:$H$102,$A30)=0,設定!$B$3,MIN(IF(COUNTIF($F$31:$F$102,$A30)=0,999999,IFERROR(WORKDAY(_xlfn.MINIFS($M$31:$M$102,$F$31:$F$102,$A30),-1),999999)),IF(COUNTIF($G$31:$G$102,$A30)=0,999999,IFERROR(WORKDAY(_xlfn.MINIFS($M$31:$M$102,$G$31:$G$102,$A30),-1),999999)),IF(COUNTIF($H$31:$H$102,$A30)=0,999999,IFERROR(WORKDAY(_xlfn.MINIFS($M$31:$M$102,$H$31:$H$102,$A30),-1),999999)))))</f>
        <v/>
      </c>
      <c r="O30" s="22" t="str">
        <f aca="false">IF($A30="","",NETWORKDAYS($K30,$M30)-1)</f>
        <v/>
      </c>
      <c r="P30" s="22" t="str">
        <f aca="false">IF($A30="","",IF($O30&lt;=0,"クリティカル",""))</f>
        <v/>
      </c>
      <c r="Q30" s="22" t="str">
        <f aca="true">IF($A30="","",IF(AND($J30&lt;&gt;"完了",TODAY()&gt;$L30),"遅延",""))</f>
        <v/>
      </c>
      <c r="R30" s="22" t="str">
        <f aca="false">IF($A30="","",_xlfn.TEXTJOIN(", ",TRUE(),IF($F30="","",IF(IFERROR(INDEX($J$3:$J$102,MATCH($F30,$A$3:$A$102,0)),"")&lt;&gt;"完了",IFERROR(INDEX($C$3:$C$102,MATCH($F30,$A$3:$A$102,0)),""),"")),IF($G30="","",IF(IFERROR(INDEX($J$3:$J$102,MATCH($G30,$A$3:$A$102,0)),"")&lt;&gt;"完了",IFERROR(INDEX($C$3:$C$102,MATCH($G30,$A$3:$A$102,0)),""),"")),IF($H30="","",IF(IFERROR(INDEX($J$3:$J$102,MATCH($H30,$A$3:$A$102,0)),"")&lt;&gt;"完了",IFERROR(INDEX($C$3:$C$102,MATCH($H30,$A$3:$A$102,0)),""),""))))</f>
        <v/>
      </c>
      <c r="S30" s="22" t="str">
        <f aca="false">IF($A30="","",IF($J30&lt;&gt;"完了",1,0))</f>
        <v/>
      </c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  <c r="G31" s="16"/>
      <c r="H31" s="16"/>
      <c r="I31" s="21"/>
      <c r="J31" s="16"/>
      <c r="K31" s="9" t="str">
        <f aca="false">IF($A31="","",IF(AND($F31="",$G31="",$H31=""),設定!$B$2,MAX(IF($F31="",0,IFERROR(WORKDAY(INDEX($L$3:$L$30,MATCH($F31,$A$3:$A$30,0)),1),0)),IF($G31="",0,IFERROR(WORKDAY(INDEX($L$3:$L$30,MATCH($G31,$A$3:$A$30,0)),1),0)),IF($H31="",0,IFERROR(WORKDAY(INDEX($L$3:$L$30,MATCH($H31,$A$3:$A$30,0)),1),0)))))</f>
        <v/>
      </c>
      <c r="L31" s="9" t="str">
        <f aca="false">IF($A31="","",WORKDAY($K31,$I31-1))</f>
        <v/>
      </c>
      <c r="M31" s="9" t="str">
        <f aca="false">IF($A31="","",WORKDAY($N31,-($I31-1)))</f>
        <v/>
      </c>
      <c r="N31" s="9" t="str">
        <f aca="false">IF($A31="","",IF(COUNTIF($F$32:$F$102,$A31)+COUNTIF($G$32:$G$102,$A31)+COUNTIF($H$32:$H$102,$A31)=0,設定!$B$3,MIN(IF(COUNTIF($F$32:$F$102,$A31)=0,999999,IFERROR(WORKDAY(_xlfn.MINIFS($M$32:$M$102,$F$32:$F$102,$A31),-1),999999)),IF(COUNTIF($G$32:$G$102,$A31)=0,999999,IFERROR(WORKDAY(_xlfn.MINIFS($M$32:$M$102,$G$32:$G$102,$A31),-1),999999)),IF(COUNTIF($H$32:$H$102,$A31)=0,999999,IFERROR(WORKDAY(_xlfn.MINIFS($M$32:$M$102,$H$32:$H$102,$A31),-1),999999)))))</f>
        <v/>
      </c>
      <c r="O31" s="22" t="str">
        <f aca="false">IF($A31="","",NETWORKDAYS($K31,$M31)-1)</f>
        <v/>
      </c>
      <c r="P31" s="22" t="str">
        <f aca="false">IF($A31="","",IF($O31&lt;=0,"クリティカル",""))</f>
        <v/>
      </c>
      <c r="Q31" s="22" t="str">
        <f aca="true">IF($A31="","",IF(AND($J31&lt;&gt;"完了",TODAY()&gt;$L31),"遅延",""))</f>
        <v/>
      </c>
      <c r="R31" s="22" t="str">
        <f aca="false">IF($A31="","",_xlfn.TEXTJOIN(", ",TRUE(),IF($F31="","",IF(IFERROR(INDEX($J$3:$J$102,MATCH($F31,$A$3:$A$102,0)),"")&lt;&gt;"完了",IFERROR(INDEX($C$3:$C$102,MATCH($F31,$A$3:$A$102,0)),""),"")),IF($G31="","",IF(IFERROR(INDEX($J$3:$J$102,MATCH($G31,$A$3:$A$102,0)),"")&lt;&gt;"完了",IFERROR(INDEX($C$3:$C$102,MATCH($G31,$A$3:$A$102,0)),""),"")),IF($H31="","",IF(IFERROR(INDEX($J$3:$J$102,MATCH($H31,$A$3:$A$102,0)),"")&lt;&gt;"完了",IFERROR(INDEX($C$3:$C$102,MATCH($H31,$A$3:$A$102,0)),""),""))))</f>
        <v/>
      </c>
      <c r="S31" s="22" t="str">
        <f aca="false">IF($A31="","",IF($J31&lt;&gt;"完了",1,0))</f>
        <v/>
      </c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  <c r="G32" s="16"/>
      <c r="H32" s="16"/>
      <c r="I32" s="21"/>
      <c r="J32" s="16"/>
      <c r="K32" s="9" t="str">
        <f aca="false">IF($A32="","",IF(AND($F32="",$G32="",$H32=""),設定!$B$2,MAX(IF($F32="",0,IFERROR(WORKDAY(INDEX($L$3:$L$31,MATCH($F32,$A$3:$A$31,0)),1),0)),IF($G32="",0,IFERROR(WORKDAY(INDEX($L$3:$L$31,MATCH($G32,$A$3:$A$31,0)),1),0)),IF($H32="",0,IFERROR(WORKDAY(INDEX($L$3:$L$31,MATCH($H32,$A$3:$A$31,0)),1),0)))))</f>
        <v/>
      </c>
      <c r="L32" s="9" t="str">
        <f aca="false">IF($A32="","",WORKDAY($K32,$I32-1))</f>
        <v/>
      </c>
      <c r="M32" s="9" t="str">
        <f aca="false">IF($A32="","",WORKDAY($N32,-($I32-1)))</f>
        <v/>
      </c>
      <c r="N32" s="9" t="str">
        <f aca="false">IF($A32="","",IF(COUNTIF($F$33:$F$102,$A32)+COUNTIF($G$33:$G$102,$A32)+COUNTIF($H$33:$H$102,$A32)=0,設定!$B$3,MIN(IF(COUNTIF($F$33:$F$102,$A32)=0,999999,IFERROR(WORKDAY(_xlfn.MINIFS($M$33:$M$102,$F$33:$F$102,$A32),-1),999999)),IF(COUNTIF($G$33:$G$102,$A32)=0,999999,IFERROR(WORKDAY(_xlfn.MINIFS($M$33:$M$102,$G$33:$G$102,$A32),-1),999999)),IF(COUNTIF($H$33:$H$102,$A32)=0,999999,IFERROR(WORKDAY(_xlfn.MINIFS($M$33:$M$102,$H$33:$H$102,$A32),-1),999999)))))</f>
        <v/>
      </c>
      <c r="O32" s="22" t="str">
        <f aca="false">IF($A32="","",NETWORKDAYS($K32,$M32)-1)</f>
        <v/>
      </c>
      <c r="P32" s="22" t="str">
        <f aca="false">IF($A32="","",IF($O32&lt;=0,"クリティカル",""))</f>
        <v/>
      </c>
      <c r="Q32" s="22" t="str">
        <f aca="true">IF($A32="","",IF(AND($J32&lt;&gt;"完了",TODAY()&gt;$L32),"遅延",""))</f>
        <v/>
      </c>
      <c r="R32" s="22" t="str">
        <f aca="false">IF($A32="","",_xlfn.TEXTJOIN(", ",TRUE(),IF($F32="","",IF(IFERROR(INDEX($J$3:$J$102,MATCH($F32,$A$3:$A$102,0)),"")&lt;&gt;"完了",IFERROR(INDEX($C$3:$C$102,MATCH($F32,$A$3:$A$102,0)),""),"")),IF($G32="","",IF(IFERROR(INDEX($J$3:$J$102,MATCH($G32,$A$3:$A$102,0)),"")&lt;&gt;"完了",IFERROR(INDEX($C$3:$C$102,MATCH($G32,$A$3:$A$102,0)),""),"")),IF($H32="","",IF(IFERROR(INDEX($J$3:$J$102,MATCH($H32,$A$3:$A$102,0)),"")&lt;&gt;"完了",IFERROR(INDEX($C$3:$C$102,MATCH($H32,$A$3:$A$102,0)),""),""))))</f>
        <v/>
      </c>
      <c r="S32" s="22" t="str">
        <f aca="false">IF($A32="","",IF($J32&lt;&gt;"完了",1,0))</f>
        <v/>
      </c>
    </row>
    <row r="33" customFormat="false" ht="15" hidden="false" customHeight="false" outlineLevel="0" collapsed="false">
      <c r="A33" s="16"/>
      <c r="B33" s="16"/>
      <c r="C33" s="16"/>
      <c r="D33" s="16"/>
      <c r="E33" s="16"/>
      <c r="F33" s="16"/>
      <c r="G33" s="16"/>
      <c r="H33" s="16"/>
      <c r="I33" s="21"/>
      <c r="J33" s="16"/>
      <c r="K33" s="9" t="str">
        <f aca="false">IF($A33="","",IF(AND($F33="",$G33="",$H33=""),設定!$B$2,MAX(IF($F33="",0,IFERROR(WORKDAY(INDEX($L$3:$L$32,MATCH($F33,$A$3:$A$32,0)),1),0)),IF($G33="",0,IFERROR(WORKDAY(INDEX($L$3:$L$32,MATCH($G33,$A$3:$A$32,0)),1),0)),IF($H33="",0,IFERROR(WORKDAY(INDEX($L$3:$L$32,MATCH($H33,$A$3:$A$32,0)),1),0)))))</f>
        <v/>
      </c>
      <c r="L33" s="9" t="str">
        <f aca="false">IF($A33="","",WORKDAY($K33,$I33-1))</f>
        <v/>
      </c>
      <c r="M33" s="9" t="str">
        <f aca="false">IF($A33="","",WORKDAY($N33,-($I33-1)))</f>
        <v/>
      </c>
      <c r="N33" s="9" t="str">
        <f aca="false">IF($A33="","",IF(COUNTIF($F$34:$F$102,$A33)+COUNTIF($G$34:$G$102,$A33)+COUNTIF($H$34:$H$102,$A33)=0,設定!$B$3,MIN(IF(COUNTIF($F$34:$F$102,$A33)=0,999999,IFERROR(WORKDAY(_xlfn.MINIFS($M$34:$M$102,$F$34:$F$102,$A33),-1),999999)),IF(COUNTIF($G$34:$G$102,$A33)=0,999999,IFERROR(WORKDAY(_xlfn.MINIFS($M$34:$M$102,$G$34:$G$102,$A33),-1),999999)),IF(COUNTIF($H$34:$H$102,$A33)=0,999999,IFERROR(WORKDAY(_xlfn.MINIFS($M$34:$M$102,$H$34:$H$102,$A33),-1),999999)))))</f>
        <v/>
      </c>
      <c r="O33" s="22" t="str">
        <f aca="false">IF($A33="","",NETWORKDAYS($K33,$M33)-1)</f>
        <v/>
      </c>
      <c r="P33" s="22" t="str">
        <f aca="false">IF($A33="","",IF($O33&lt;=0,"クリティカル",""))</f>
        <v/>
      </c>
      <c r="Q33" s="22" t="str">
        <f aca="true">IF($A33="","",IF(AND($J33&lt;&gt;"完了",TODAY()&gt;$L33),"遅延",""))</f>
        <v/>
      </c>
      <c r="R33" s="22" t="str">
        <f aca="false">IF($A33="","",_xlfn.TEXTJOIN(", ",TRUE(),IF($F33="","",IF(IFERROR(INDEX($J$3:$J$102,MATCH($F33,$A$3:$A$102,0)),"")&lt;&gt;"完了",IFERROR(INDEX($C$3:$C$102,MATCH($F33,$A$3:$A$102,0)),""),"")),IF($G33="","",IF(IFERROR(INDEX($J$3:$J$102,MATCH($G33,$A$3:$A$102,0)),"")&lt;&gt;"完了",IFERROR(INDEX($C$3:$C$102,MATCH($G33,$A$3:$A$102,0)),""),"")),IF($H33="","",IF(IFERROR(INDEX($J$3:$J$102,MATCH($H33,$A$3:$A$102,0)),"")&lt;&gt;"完了",IFERROR(INDEX($C$3:$C$102,MATCH($H33,$A$3:$A$102,0)),""),""))))</f>
        <v/>
      </c>
      <c r="S33" s="22" t="str">
        <f aca="false">IF($A33="","",IF($J33&lt;&gt;"完了",1,0))</f>
        <v/>
      </c>
    </row>
    <row r="34" customFormat="false" ht="15" hidden="false" customHeight="false" outlineLevel="0" collapsed="false">
      <c r="A34" s="16"/>
      <c r="B34" s="16"/>
      <c r="C34" s="16"/>
      <c r="D34" s="16"/>
      <c r="E34" s="16"/>
      <c r="F34" s="16"/>
      <c r="G34" s="16"/>
      <c r="H34" s="16"/>
      <c r="I34" s="21"/>
      <c r="J34" s="16"/>
      <c r="K34" s="9" t="str">
        <f aca="false">IF($A34="","",IF(AND($F34="",$G34="",$H34=""),設定!$B$2,MAX(IF($F34="",0,IFERROR(WORKDAY(INDEX($L$3:$L$33,MATCH($F34,$A$3:$A$33,0)),1),0)),IF($G34="",0,IFERROR(WORKDAY(INDEX($L$3:$L$33,MATCH($G34,$A$3:$A$33,0)),1),0)),IF($H34="",0,IFERROR(WORKDAY(INDEX($L$3:$L$33,MATCH($H34,$A$3:$A$33,0)),1),0)))))</f>
        <v/>
      </c>
      <c r="L34" s="9" t="str">
        <f aca="false">IF($A34="","",WORKDAY($K34,$I34-1))</f>
        <v/>
      </c>
      <c r="M34" s="9" t="str">
        <f aca="false">IF($A34="","",WORKDAY($N34,-($I34-1)))</f>
        <v/>
      </c>
      <c r="N34" s="9" t="str">
        <f aca="false">IF($A34="","",IF(COUNTIF($F$35:$F$102,$A34)+COUNTIF($G$35:$G$102,$A34)+COUNTIF($H$35:$H$102,$A34)=0,設定!$B$3,MIN(IF(COUNTIF($F$35:$F$102,$A34)=0,999999,IFERROR(WORKDAY(_xlfn.MINIFS($M$35:$M$102,$F$35:$F$102,$A34),-1),999999)),IF(COUNTIF($G$35:$G$102,$A34)=0,999999,IFERROR(WORKDAY(_xlfn.MINIFS($M$35:$M$102,$G$35:$G$102,$A34),-1),999999)),IF(COUNTIF($H$35:$H$102,$A34)=0,999999,IFERROR(WORKDAY(_xlfn.MINIFS($M$35:$M$102,$H$35:$H$102,$A34),-1),999999)))))</f>
        <v/>
      </c>
      <c r="O34" s="22" t="str">
        <f aca="false">IF($A34="","",NETWORKDAYS($K34,$M34)-1)</f>
        <v/>
      </c>
      <c r="P34" s="22" t="str">
        <f aca="false">IF($A34="","",IF($O34&lt;=0,"クリティカル",""))</f>
        <v/>
      </c>
      <c r="Q34" s="22" t="str">
        <f aca="true">IF($A34="","",IF(AND($J34&lt;&gt;"完了",TODAY()&gt;$L34),"遅延",""))</f>
        <v/>
      </c>
      <c r="R34" s="22" t="str">
        <f aca="false">IF($A34="","",_xlfn.TEXTJOIN(", ",TRUE(),IF($F34="","",IF(IFERROR(INDEX($J$3:$J$102,MATCH($F34,$A$3:$A$102,0)),"")&lt;&gt;"完了",IFERROR(INDEX($C$3:$C$102,MATCH($F34,$A$3:$A$102,0)),""),"")),IF($G34="","",IF(IFERROR(INDEX($J$3:$J$102,MATCH($G34,$A$3:$A$102,0)),"")&lt;&gt;"完了",IFERROR(INDEX($C$3:$C$102,MATCH($G34,$A$3:$A$102,0)),""),"")),IF($H34="","",IF(IFERROR(INDEX($J$3:$J$102,MATCH($H34,$A$3:$A$102,0)),"")&lt;&gt;"完了",IFERROR(INDEX($C$3:$C$102,MATCH($H34,$A$3:$A$102,0)),""),""))))</f>
        <v/>
      </c>
      <c r="S34" s="22" t="str">
        <f aca="false">IF($A34="","",IF($J34&lt;&gt;"完了",1,0))</f>
        <v/>
      </c>
    </row>
    <row r="35" customFormat="false" ht="15" hidden="false" customHeight="false" outlineLevel="0" collapsed="false">
      <c r="A35" s="16"/>
      <c r="B35" s="16"/>
      <c r="C35" s="16"/>
      <c r="D35" s="16"/>
      <c r="E35" s="16"/>
      <c r="F35" s="16"/>
      <c r="G35" s="16"/>
      <c r="H35" s="16"/>
      <c r="I35" s="21"/>
      <c r="J35" s="16"/>
      <c r="K35" s="9" t="str">
        <f aca="false">IF($A35="","",IF(AND($F35="",$G35="",$H35=""),設定!$B$2,MAX(IF($F35="",0,IFERROR(WORKDAY(INDEX($L$3:$L$34,MATCH($F35,$A$3:$A$34,0)),1),0)),IF($G35="",0,IFERROR(WORKDAY(INDEX($L$3:$L$34,MATCH($G35,$A$3:$A$34,0)),1),0)),IF($H35="",0,IFERROR(WORKDAY(INDEX($L$3:$L$34,MATCH($H35,$A$3:$A$34,0)),1),0)))))</f>
        <v/>
      </c>
      <c r="L35" s="9" t="str">
        <f aca="false">IF($A35="","",WORKDAY($K35,$I35-1))</f>
        <v/>
      </c>
      <c r="M35" s="9" t="str">
        <f aca="false">IF($A35="","",WORKDAY($N35,-($I35-1)))</f>
        <v/>
      </c>
      <c r="N35" s="9" t="str">
        <f aca="false">IF($A35="","",IF(COUNTIF($F$36:$F$102,$A35)+COUNTIF($G$36:$G$102,$A35)+COUNTIF($H$36:$H$102,$A35)=0,設定!$B$3,MIN(IF(COUNTIF($F$36:$F$102,$A35)=0,999999,IFERROR(WORKDAY(_xlfn.MINIFS($M$36:$M$102,$F$36:$F$102,$A35),-1),999999)),IF(COUNTIF($G$36:$G$102,$A35)=0,999999,IFERROR(WORKDAY(_xlfn.MINIFS($M$36:$M$102,$G$36:$G$102,$A35),-1),999999)),IF(COUNTIF($H$36:$H$102,$A35)=0,999999,IFERROR(WORKDAY(_xlfn.MINIFS($M$36:$M$102,$H$36:$H$102,$A35),-1),999999)))))</f>
        <v/>
      </c>
      <c r="O35" s="22" t="str">
        <f aca="false">IF($A35="","",NETWORKDAYS($K35,$M35)-1)</f>
        <v/>
      </c>
      <c r="P35" s="22" t="str">
        <f aca="false">IF($A35="","",IF($O35&lt;=0,"クリティカル",""))</f>
        <v/>
      </c>
      <c r="Q35" s="22" t="str">
        <f aca="true">IF($A35="","",IF(AND($J35&lt;&gt;"完了",TODAY()&gt;$L35),"遅延",""))</f>
        <v/>
      </c>
      <c r="R35" s="22" t="str">
        <f aca="false">IF($A35="","",_xlfn.TEXTJOIN(", ",TRUE(),IF($F35="","",IF(IFERROR(INDEX($J$3:$J$102,MATCH($F35,$A$3:$A$102,0)),"")&lt;&gt;"完了",IFERROR(INDEX($C$3:$C$102,MATCH($F35,$A$3:$A$102,0)),""),"")),IF($G35="","",IF(IFERROR(INDEX($J$3:$J$102,MATCH($G35,$A$3:$A$102,0)),"")&lt;&gt;"完了",IFERROR(INDEX($C$3:$C$102,MATCH($G35,$A$3:$A$102,0)),""),"")),IF($H35="","",IF(IFERROR(INDEX($J$3:$J$102,MATCH($H35,$A$3:$A$102,0)),"")&lt;&gt;"完了",IFERROR(INDEX($C$3:$C$102,MATCH($H35,$A$3:$A$102,0)),""),""))))</f>
        <v/>
      </c>
      <c r="S35" s="22" t="str">
        <f aca="false">IF($A35="","",IF($J35&lt;&gt;"完了",1,0))</f>
        <v/>
      </c>
    </row>
    <row r="36" customFormat="false" ht="15" hidden="false" customHeight="false" outlineLevel="0" collapsed="false">
      <c r="A36" s="16"/>
      <c r="B36" s="16"/>
      <c r="C36" s="16"/>
      <c r="D36" s="16"/>
      <c r="E36" s="16"/>
      <c r="F36" s="16"/>
      <c r="G36" s="16"/>
      <c r="H36" s="16"/>
      <c r="I36" s="21"/>
      <c r="J36" s="16"/>
      <c r="K36" s="9" t="str">
        <f aca="false">IF($A36="","",IF(AND($F36="",$G36="",$H36=""),設定!$B$2,MAX(IF($F36="",0,IFERROR(WORKDAY(INDEX($L$3:$L$35,MATCH($F36,$A$3:$A$35,0)),1),0)),IF($G36="",0,IFERROR(WORKDAY(INDEX($L$3:$L$35,MATCH($G36,$A$3:$A$35,0)),1),0)),IF($H36="",0,IFERROR(WORKDAY(INDEX($L$3:$L$35,MATCH($H36,$A$3:$A$35,0)),1),0)))))</f>
        <v/>
      </c>
      <c r="L36" s="9" t="str">
        <f aca="false">IF($A36="","",WORKDAY($K36,$I36-1))</f>
        <v/>
      </c>
      <c r="M36" s="9" t="str">
        <f aca="false">IF($A36="","",WORKDAY($N36,-($I36-1)))</f>
        <v/>
      </c>
      <c r="N36" s="9" t="str">
        <f aca="false">IF($A36="","",IF(COUNTIF($F$37:$F$102,$A36)+COUNTIF($G$37:$G$102,$A36)+COUNTIF($H$37:$H$102,$A36)=0,設定!$B$3,MIN(IF(COUNTIF($F$37:$F$102,$A36)=0,999999,IFERROR(WORKDAY(_xlfn.MINIFS($M$37:$M$102,$F$37:$F$102,$A36),-1),999999)),IF(COUNTIF($G$37:$G$102,$A36)=0,999999,IFERROR(WORKDAY(_xlfn.MINIFS($M$37:$M$102,$G$37:$G$102,$A36),-1),999999)),IF(COUNTIF($H$37:$H$102,$A36)=0,999999,IFERROR(WORKDAY(_xlfn.MINIFS($M$37:$M$102,$H$37:$H$102,$A36),-1),999999)))))</f>
        <v/>
      </c>
      <c r="O36" s="22" t="str">
        <f aca="false">IF($A36="","",NETWORKDAYS($K36,$M36)-1)</f>
        <v/>
      </c>
      <c r="P36" s="22" t="str">
        <f aca="false">IF($A36="","",IF($O36&lt;=0,"クリティカル",""))</f>
        <v/>
      </c>
      <c r="Q36" s="22" t="str">
        <f aca="true">IF($A36="","",IF(AND($J36&lt;&gt;"完了",TODAY()&gt;$L36),"遅延",""))</f>
        <v/>
      </c>
      <c r="R36" s="22" t="str">
        <f aca="false">IF($A36="","",_xlfn.TEXTJOIN(", ",TRUE(),IF($F36="","",IF(IFERROR(INDEX($J$3:$J$102,MATCH($F36,$A$3:$A$102,0)),"")&lt;&gt;"完了",IFERROR(INDEX($C$3:$C$102,MATCH($F36,$A$3:$A$102,0)),""),"")),IF($G36="","",IF(IFERROR(INDEX($J$3:$J$102,MATCH($G36,$A$3:$A$102,0)),"")&lt;&gt;"完了",IFERROR(INDEX($C$3:$C$102,MATCH($G36,$A$3:$A$102,0)),""),"")),IF($H36="","",IF(IFERROR(INDEX($J$3:$J$102,MATCH($H36,$A$3:$A$102,0)),"")&lt;&gt;"完了",IFERROR(INDEX($C$3:$C$102,MATCH($H36,$A$3:$A$102,0)),""),""))))</f>
        <v/>
      </c>
      <c r="S36" s="22" t="str">
        <f aca="false">IF($A36="","",IF($J36&lt;&gt;"完了",1,0))</f>
        <v/>
      </c>
    </row>
    <row r="37" customFormat="false" ht="15" hidden="false" customHeight="false" outlineLevel="0" collapsed="false">
      <c r="A37" s="16"/>
      <c r="B37" s="16"/>
      <c r="C37" s="16"/>
      <c r="D37" s="16"/>
      <c r="E37" s="16"/>
      <c r="F37" s="16"/>
      <c r="G37" s="16"/>
      <c r="H37" s="16"/>
      <c r="I37" s="21"/>
      <c r="J37" s="16"/>
      <c r="K37" s="9" t="str">
        <f aca="false">IF($A37="","",IF(AND($F37="",$G37="",$H37=""),設定!$B$2,MAX(IF($F37="",0,IFERROR(WORKDAY(INDEX($L$3:$L$36,MATCH($F37,$A$3:$A$36,0)),1),0)),IF($G37="",0,IFERROR(WORKDAY(INDEX($L$3:$L$36,MATCH($G37,$A$3:$A$36,0)),1),0)),IF($H37="",0,IFERROR(WORKDAY(INDEX($L$3:$L$36,MATCH($H37,$A$3:$A$36,0)),1),0)))))</f>
        <v/>
      </c>
      <c r="L37" s="9" t="str">
        <f aca="false">IF($A37="","",WORKDAY($K37,$I37-1))</f>
        <v/>
      </c>
      <c r="M37" s="9" t="str">
        <f aca="false">IF($A37="","",WORKDAY($N37,-($I37-1)))</f>
        <v/>
      </c>
      <c r="N37" s="9" t="str">
        <f aca="false">IF($A37="","",IF(COUNTIF($F$38:$F$102,$A37)+COUNTIF($G$38:$G$102,$A37)+COUNTIF($H$38:$H$102,$A37)=0,設定!$B$3,MIN(IF(COUNTIF($F$38:$F$102,$A37)=0,999999,IFERROR(WORKDAY(_xlfn.MINIFS($M$38:$M$102,$F$38:$F$102,$A37),-1),999999)),IF(COUNTIF($G$38:$G$102,$A37)=0,999999,IFERROR(WORKDAY(_xlfn.MINIFS($M$38:$M$102,$G$38:$G$102,$A37),-1),999999)),IF(COUNTIF($H$38:$H$102,$A37)=0,999999,IFERROR(WORKDAY(_xlfn.MINIFS($M$38:$M$102,$H$38:$H$102,$A37),-1),999999)))))</f>
        <v/>
      </c>
      <c r="O37" s="22" t="str">
        <f aca="false">IF($A37="","",NETWORKDAYS($K37,$M37)-1)</f>
        <v/>
      </c>
      <c r="P37" s="22" t="str">
        <f aca="false">IF($A37="","",IF($O37&lt;=0,"クリティカル",""))</f>
        <v/>
      </c>
      <c r="Q37" s="22" t="str">
        <f aca="true">IF($A37="","",IF(AND($J37&lt;&gt;"完了",TODAY()&gt;$L37),"遅延",""))</f>
        <v/>
      </c>
      <c r="R37" s="22" t="str">
        <f aca="false">IF($A37="","",_xlfn.TEXTJOIN(", ",TRUE(),IF($F37="","",IF(IFERROR(INDEX($J$3:$J$102,MATCH($F37,$A$3:$A$102,0)),"")&lt;&gt;"完了",IFERROR(INDEX($C$3:$C$102,MATCH($F37,$A$3:$A$102,0)),""),"")),IF($G37="","",IF(IFERROR(INDEX($J$3:$J$102,MATCH($G37,$A$3:$A$102,0)),"")&lt;&gt;"完了",IFERROR(INDEX($C$3:$C$102,MATCH($G37,$A$3:$A$102,0)),""),"")),IF($H37="","",IF(IFERROR(INDEX($J$3:$J$102,MATCH($H37,$A$3:$A$102,0)),"")&lt;&gt;"完了",IFERROR(INDEX($C$3:$C$102,MATCH($H37,$A$3:$A$102,0)),""),""))))</f>
        <v/>
      </c>
      <c r="S37" s="22" t="str">
        <f aca="false">IF($A37="","",IF($J37&lt;&gt;"完了",1,0))</f>
        <v/>
      </c>
    </row>
    <row r="38" customFormat="false" ht="15" hidden="false" customHeight="false" outlineLevel="0" collapsed="false">
      <c r="A38" s="16"/>
      <c r="B38" s="16"/>
      <c r="C38" s="16"/>
      <c r="D38" s="16"/>
      <c r="E38" s="16"/>
      <c r="F38" s="16"/>
      <c r="G38" s="16"/>
      <c r="H38" s="16"/>
      <c r="I38" s="21"/>
      <c r="J38" s="16"/>
      <c r="K38" s="9" t="str">
        <f aca="false">IF($A38="","",IF(AND($F38="",$G38="",$H38=""),設定!$B$2,MAX(IF($F38="",0,IFERROR(WORKDAY(INDEX($L$3:$L$37,MATCH($F38,$A$3:$A$37,0)),1),0)),IF($G38="",0,IFERROR(WORKDAY(INDEX($L$3:$L$37,MATCH($G38,$A$3:$A$37,0)),1),0)),IF($H38="",0,IFERROR(WORKDAY(INDEX($L$3:$L$37,MATCH($H38,$A$3:$A$37,0)),1),0)))))</f>
        <v/>
      </c>
      <c r="L38" s="9" t="str">
        <f aca="false">IF($A38="","",WORKDAY($K38,$I38-1))</f>
        <v/>
      </c>
      <c r="M38" s="9" t="str">
        <f aca="false">IF($A38="","",WORKDAY($N38,-($I38-1)))</f>
        <v/>
      </c>
      <c r="N38" s="9" t="str">
        <f aca="false">IF($A38="","",IF(COUNTIF($F$39:$F$102,$A38)+COUNTIF($G$39:$G$102,$A38)+COUNTIF($H$39:$H$102,$A38)=0,設定!$B$3,MIN(IF(COUNTIF($F$39:$F$102,$A38)=0,999999,IFERROR(WORKDAY(_xlfn.MINIFS($M$39:$M$102,$F$39:$F$102,$A38),-1),999999)),IF(COUNTIF($G$39:$G$102,$A38)=0,999999,IFERROR(WORKDAY(_xlfn.MINIFS($M$39:$M$102,$G$39:$G$102,$A38),-1),999999)),IF(COUNTIF($H$39:$H$102,$A38)=0,999999,IFERROR(WORKDAY(_xlfn.MINIFS($M$39:$M$102,$H$39:$H$102,$A38),-1),999999)))))</f>
        <v/>
      </c>
      <c r="O38" s="22" t="str">
        <f aca="false">IF($A38="","",NETWORKDAYS($K38,$M38)-1)</f>
        <v/>
      </c>
      <c r="P38" s="22" t="str">
        <f aca="false">IF($A38="","",IF($O38&lt;=0,"クリティカル",""))</f>
        <v/>
      </c>
      <c r="Q38" s="22" t="str">
        <f aca="true">IF($A38="","",IF(AND($J38&lt;&gt;"完了",TODAY()&gt;$L38),"遅延",""))</f>
        <v/>
      </c>
      <c r="R38" s="22" t="str">
        <f aca="false">IF($A38="","",_xlfn.TEXTJOIN(", ",TRUE(),IF($F38="","",IF(IFERROR(INDEX($J$3:$J$102,MATCH($F38,$A$3:$A$102,0)),"")&lt;&gt;"完了",IFERROR(INDEX($C$3:$C$102,MATCH($F38,$A$3:$A$102,0)),""),"")),IF($G38="","",IF(IFERROR(INDEX($J$3:$J$102,MATCH($G38,$A$3:$A$102,0)),"")&lt;&gt;"完了",IFERROR(INDEX($C$3:$C$102,MATCH($G38,$A$3:$A$102,0)),""),"")),IF($H38="","",IF(IFERROR(INDEX($J$3:$J$102,MATCH($H38,$A$3:$A$102,0)),"")&lt;&gt;"完了",IFERROR(INDEX($C$3:$C$102,MATCH($H38,$A$3:$A$102,0)),""),""))))</f>
        <v/>
      </c>
      <c r="S38" s="22" t="str">
        <f aca="false">IF($A38="","",IF($J38&lt;&gt;"完了",1,0))</f>
        <v/>
      </c>
    </row>
    <row r="39" customFormat="false" ht="15" hidden="false" customHeight="false" outlineLevel="0" collapsed="false">
      <c r="A39" s="16"/>
      <c r="B39" s="16"/>
      <c r="C39" s="16"/>
      <c r="D39" s="16"/>
      <c r="E39" s="16"/>
      <c r="F39" s="16"/>
      <c r="G39" s="16"/>
      <c r="H39" s="16"/>
      <c r="I39" s="21"/>
      <c r="J39" s="16"/>
      <c r="K39" s="9" t="str">
        <f aca="false">IF($A39="","",IF(AND($F39="",$G39="",$H39=""),設定!$B$2,MAX(IF($F39="",0,IFERROR(WORKDAY(INDEX($L$3:$L$38,MATCH($F39,$A$3:$A$38,0)),1),0)),IF($G39="",0,IFERROR(WORKDAY(INDEX($L$3:$L$38,MATCH($G39,$A$3:$A$38,0)),1),0)),IF($H39="",0,IFERROR(WORKDAY(INDEX($L$3:$L$38,MATCH($H39,$A$3:$A$38,0)),1),0)))))</f>
        <v/>
      </c>
      <c r="L39" s="9" t="str">
        <f aca="false">IF($A39="","",WORKDAY($K39,$I39-1))</f>
        <v/>
      </c>
      <c r="M39" s="9" t="str">
        <f aca="false">IF($A39="","",WORKDAY($N39,-($I39-1)))</f>
        <v/>
      </c>
      <c r="N39" s="9" t="str">
        <f aca="false">IF($A39="","",IF(COUNTIF($F$40:$F$102,$A39)+COUNTIF($G$40:$G$102,$A39)+COUNTIF($H$40:$H$102,$A39)=0,設定!$B$3,MIN(IF(COUNTIF($F$40:$F$102,$A39)=0,999999,IFERROR(WORKDAY(_xlfn.MINIFS($M$40:$M$102,$F$40:$F$102,$A39),-1),999999)),IF(COUNTIF($G$40:$G$102,$A39)=0,999999,IFERROR(WORKDAY(_xlfn.MINIFS($M$40:$M$102,$G$40:$G$102,$A39),-1),999999)),IF(COUNTIF($H$40:$H$102,$A39)=0,999999,IFERROR(WORKDAY(_xlfn.MINIFS($M$40:$M$102,$H$40:$H$102,$A39),-1),999999)))))</f>
        <v/>
      </c>
      <c r="O39" s="22" t="str">
        <f aca="false">IF($A39="","",NETWORKDAYS($K39,$M39)-1)</f>
        <v/>
      </c>
      <c r="P39" s="22" t="str">
        <f aca="false">IF($A39="","",IF($O39&lt;=0,"クリティカル",""))</f>
        <v/>
      </c>
      <c r="Q39" s="22" t="str">
        <f aca="true">IF($A39="","",IF(AND($J39&lt;&gt;"完了",TODAY()&gt;$L39),"遅延",""))</f>
        <v/>
      </c>
      <c r="R39" s="22" t="str">
        <f aca="false">IF($A39="","",_xlfn.TEXTJOIN(", ",TRUE(),IF($F39="","",IF(IFERROR(INDEX($J$3:$J$102,MATCH($F39,$A$3:$A$102,0)),"")&lt;&gt;"完了",IFERROR(INDEX($C$3:$C$102,MATCH($F39,$A$3:$A$102,0)),""),"")),IF($G39="","",IF(IFERROR(INDEX($J$3:$J$102,MATCH($G39,$A$3:$A$102,0)),"")&lt;&gt;"完了",IFERROR(INDEX($C$3:$C$102,MATCH($G39,$A$3:$A$102,0)),""),"")),IF($H39="","",IF(IFERROR(INDEX($J$3:$J$102,MATCH($H39,$A$3:$A$102,0)),"")&lt;&gt;"完了",IFERROR(INDEX($C$3:$C$102,MATCH($H39,$A$3:$A$102,0)),""),""))))</f>
        <v/>
      </c>
      <c r="S39" s="22" t="str">
        <f aca="false">IF($A39="","",IF($J39&lt;&gt;"完了",1,0))</f>
        <v/>
      </c>
    </row>
    <row r="40" customFormat="false" ht="15" hidden="false" customHeight="false" outlineLevel="0" collapsed="false">
      <c r="A40" s="16"/>
      <c r="B40" s="16"/>
      <c r="C40" s="16"/>
      <c r="D40" s="16"/>
      <c r="E40" s="16"/>
      <c r="F40" s="16"/>
      <c r="G40" s="16"/>
      <c r="H40" s="16"/>
      <c r="I40" s="21"/>
      <c r="J40" s="16"/>
      <c r="K40" s="9" t="str">
        <f aca="false">IF($A40="","",IF(AND($F40="",$G40="",$H40=""),設定!$B$2,MAX(IF($F40="",0,IFERROR(WORKDAY(INDEX($L$3:$L$39,MATCH($F40,$A$3:$A$39,0)),1),0)),IF($G40="",0,IFERROR(WORKDAY(INDEX($L$3:$L$39,MATCH($G40,$A$3:$A$39,0)),1),0)),IF($H40="",0,IFERROR(WORKDAY(INDEX($L$3:$L$39,MATCH($H40,$A$3:$A$39,0)),1),0)))))</f>
        <v/>
      </c>
      <c r="L40" s="9" t="str">
        <f aca="false">IF($A40="","",WORKDAY($K40,$I40-1))</f>
        <v/>
      </c>
      <c r="M40" s="9" t="str">
        <f aca="false">IF($A40="","",WORKDAY($N40,-($I40-1)))</f>
        <v/>
      </c>
      <c r="N40" s="9" t="str">
        <f aca="false">IF($A40="","",IF(COUNTIF($F$41:$F$102,$A40)+COUNTIF($G$41:$G$102,$A40)+COUNTIF($H$41:$H$102,$A40)=0,設定!$B$3,MIN(IF(COUNTIF($F$41:$F$102,$A40)=0,999999,IFERROR(WORKDAY(_xlfn.MINIFS($M$41:$M$102,$F$41:$F$102,$A40),-1),999999)),IF(COUNTIF($G$41:$G$102,$A40)=0,999999,IFERROR(WORKDAY(_xlfn.MINIFS($M$41:$M$102,$G$41:$G$102,$A40),-1),999999)),IF(COUNTIF($H$41:$H$102,$A40)=0,999999,IFERROR(WORKDAY(_xlfn.MINIFS($M$41:$M$102,$H$41:$H$102,$A40),-1),999999)))))</f>
        <v/>
      </c>
      <c r="O40" s="22" t="str">
        <f aca="false">IF($A40="","",NETWORKDAYS($K40,$M40)-1)</f>
        <v/>
      </c>
      <c r="P40" s="22" t="str">
        <f aca="false">IF($A40="","",IF($O40&lt;=0,"クリティカル",""))</f>
        <v/>
      </c>
      <c r="Q40" s="22" t="str">
        <f aca="true">IF($A40="","",IF(AND($J40&lt;&gt;"完了",TODAY()&gt;$L40),"遅延",""))</f>
        <v/>
      </c>
      <c r="R40" s="22" t="str">
        <f aca="false">IF($A40="","",_xlfn.TEXTJOIN(", ",TRUE(),IF($F40="","",IF(IFERROR(INDEX($J$3:$J$102,MATCH($F40,$A$3:$A$102,0)),"")&lt;&gt;"完了",IFERROR(INDEX($C$3:$C$102,MATCH($F40,$A$3:$A$102,0)),""),"")),IF($G40="","",IF(IFERROR(INDEX($J$3:$J$102,MATCH($G40,$A$3:$A$102,0)),"")&lt;&gt;"完了",IFERROR(INDEX($C$3:$C$102,MATCH($G40,$A$3:$A$102,0)),""),"")),IF($H40="","",IF(IFERROR(INDEX($J$3:$J$102,MATCH($H40,$A$3:$A$102,0)),"")&lt;&gt;"完了",IFERROR(INDEX($C$3:$C$102,MATCH($H40,$A$3:$A$102,0)),""),""))))</f>
        <v/>
      </c>
      <c r="S40" s="22" t="str">
        <f aca="false">IF($A40="","",IF($J40&lt;&gt;"完了",1,0))</f>
        <v/>
      </c>
    </row>
    <row r="41" customFormat="false" ht="15" hidden="false" customHeight="false" outlineLevel="0" collapsed="false">
      <c r="A41" s="16"/>
      <c r="B41" s="16"/>
      <c r="C41" s="16"/>
      <c r="D41" s="16"/>
      <c r="E41" s="16"/>
      <c r="F41" s="16"/>
      <c r="G41" s="16"/>
      <c r="H41" s="16"/>
      <c r="I41" s="21"/>
      <c r="J41" s="16"/>
      <c r="K41" s="9" t="str">
        <f aca="false">IF($A41="","",IF(AND($F41="",$G41="",$H41=""),設定!$B$2,MAX(IF($F41="",0,IFERROR(WORKDAY(INDEX($L$3:$L$40,MATCH($F41,$A$3:$A$40,0)),1),0)),IF($G41="",0,IFERROR(WORKDAY(INDEX($L$3:$L$40,MATCH($G41,$A$3:$A$40,0)),1),0)),IF($H41="",0,IFERROR(WORKDAY(INDEX($L$3:$L$40,MATCH($H41,$A$3:$A$40,0)),1),0)))))</f>
        <v/>
      </c>
      <c r="L41" s="9" t="str">
        <f aca="false">IF($A41="","",WORKDAY($K41,$I41-1))</f>
        <v/>
      </c>
      <c r="M41" s="9" t="str">
        <f aca="false">IF($A41="","",WORKDAY($N41,-($I41-1)))</f>
        <v/>
      </c>
      <c r="N41" s="9" t="str">
        <f aca="false">IF($A41="","",IF(COUNTIF($F$42:$F$102,$A41)+COUNTIF($G$42:$G$102,$A41)+COUNTIF($H$42:$H$102,$A41)=0,設定!$B$3,MIN(IF(COUNTIF($F$42:$F$102,$A41)=0,999999,IFERROR(WORKDAY(_xlfn.MINIFS($M$42:$M$102,$F$42:$F$102,$A41),-1),999999)),IF(COUNTIF($G$42:$G$102,$A41)=0,999999,IFERROR(WORKDAY(_xlfn.MINIFS($M$42:$M$102,$G$42:$G$102,$A41),-1),999999)),IF(COUNTIF($H$42:$H$102,$A41)=0,999999,IFERROR(WORKDAY(_xlfn.MINIFS($M$42:$M$102,$H$42:$H$102,$A41),-1),999999)))))</f>
        <v/>
      </c>
      <c r="O41" s="22" t="str">
        <f aca="false">IF($A41="","",NETWORKDAYS($K41,$M41)-1)</f>
        <v/>
      </c>
      <c r="P41" s="22" t="str">
        <f aca="false">IF($A41="","",IF($O41&lt;=0,"クリティカル",""))</f>
        <v/>
      </c>
      <c r="Q41" s="22" t="str">
        <f aca="true">IF($A41="","",IF(AND($J41&lt;&gt;"完了",TODAY()&gt;$L41),"遅延",""))</f>
        <v/>
      </c>
      <c r="R41" s="22" t="str">
        <f aca="false">IF($A41="","",_xlfn.TEXTJOIN(", ",TRUE(),IF($F41="","",IF(IFERROR(INDEX($J$3:$J$102,MATCH($F41,$A$3:$A$102,0)),"")&lt;&gt;"完了",IFERROR(INDEX($C$3:$C$102,MATCH($F41,$A$3:$A$102,0)),""),"")),IF($G41="","",IF(IFERROR(INDEX($J$3:$J$102,MATCH($G41,$A$3:$A$102,0)),"")&lt;&gt;"完了",IFERROR(INDEX($C$3:$C$102,MATCH($G41,$A$3:$A$102,0)),""),"")),IF($H41="","",IF(IFERROR(INDEX($J$3:$J$102,MATCH($H41,$A$3:$A$102,0)),"")&lt;&gt;"完了",IFERROR(INDEX($C$3:$C$102,MATCH($H41,$A$3:$A$102,0)),""),""))))</f>
        <v/>
      </c>
      <c r="S41" s="22" t="str">
        <f aca="false">IF($A41="","",IF($J41&lt;&gt;"完了",1,0))</f>
        <v/>
      </c>
    </row>
    <row r="42" customFormat="false" ht="15" hidden="false" customHeight="false" outlineLevel="0" collapsed="false">
      <c r="A42" s="16"/>
      <c r="B42" s="16"/>
      <c r="C42" s="16"/>
      <c r="D42" s="16"/>
      <c r="E42" s="16"/>
      <c r="F42" s="16"/>
      <c r="G42" s="16"/>
      <c r="H42" s="16"/>
      <c r="I42" s="21"/>
      <c r="J42" s="16"/>
      <c r="K42" s="9" t="str">
        <f aca="false">IF($A42="","",IF(AND($F42="",$G42="",$H42=""),設定!$B$2,MAX(IF($F42="",0,IFERROR(WORKDAY(INDEX($L$3:$L$41,MATCH($F42,$A$3:$A$41,0)),1),0)),IF($G42="",0,IFERROR(WORKDAY(INDEX($L$3:$L$41,MATCH($G42,$A$3:$A$41,0)),1),0)),IF($H42="",0,IFERROR(WORKDAY(INDEX($L$3:$L$41,MATCH($H42,$A$3:$A$41,0)),1),0)))))</f>
        <v/>
      </c>
      <c r="L42" s="9" t="str">
        <f aca="false">IF($A42="","",WORKDAY($K42,$I42-1))</f>
        <v/>
      </c>
      <c r="M42" s="9" t="str">
        <f aca="false">IF($A42="","",WORKDAY($N42,-($I42-1)))</f>
        <v/>
      </c>
      <c r="N42" s="9" t="str">
        <f aca="false">IF($A42="","",IF(COUNTIF($F$43:$F$102,$A42)+COUNTIF($G$43:$G$102,$A42)+COUNTIF($H$43:$H$102,$A42)=0,設定!$B$3,MIN(IF(COUNTIF($F$43:$F$102,$A42)=0,999999,IFERROR(WORKDAY(_xlfn.MINIFS($M$43:$M$102,$F$43:$F$102,$A42),-1),999999)),IF(COUNTIF($G$43:$G$102,$A42)=0,999999,IFERROR(WORKDAY(_xlfn.MINIFS($M$43:$M$102,$G$43:$G$102,$A42),-1),999999)),IF(COUNTIF($H$43:$H$102,$A42)=0,999999,IFERROR(WORKDAY(_xlfn.MINIFS($M$43:$M$102,$H$43:$H$102,$A42),-1),999999)))))</f>
        <v/>
      </c>
      <c r="O42" s="22" t="str">
        <f aca="false">IF($A42="","",NETWORKDAYS($K42,$M42)-1)</f>
        <v/>
      </c>
      <c r="P42" s="22" t="str">
        <f aca="false">IF($A42="","",IF($O42&lt;=0,"クリティカル",""))</f>
        <v/>
      </c>
      <c r="Q42" s="22" t="str">
        <f aca="true">IF($A42="","",IF(AND($J42&lt;&gt;"完了",TODAY()&gt;$L42),"遅延",""))</f>
        <v/>
      </c>
      <c r="R42" s="22" t="str">
        <f aca="false">IF($A42="","",_xlfn.TEXTJOIN(", ",TRUE(),IF($F42="","",IF(IFERROR(INDEX($J$3:$J$102,MATCH($F42,$A$3:$A$102,0)),"")&lt;&gt;"完了",IFERROR(INDEX($C$3:$C$102,MATCH($F42,$A$3:$A$102,0)),""),"")),IF($G42="","",IF(IFERROR(INDEX($J$3:$J$102,MATCH($G42,$A$3:$A$102,0)),"")&lt;&gt;"完了",IFERROR(INDEX($C$3:$C$102,MATCH($G42,$A$3:$A$102,0)),""),"")),IF($H42="","",IF(IFERROR(INDEX($J$3:$J$102,MATCH($H42,$A$3:$A$102,0)),"")&lt;&gt;"完了",IFERROR(INDEX($C$3:$C$102,MATCH($H42,$A$3:$A$102,0)),""),""))))</f>
        <v/>
      </c>
      <c r="S42" s="22" t="str">
        <f aca="false">IF($A42="","",IF($J42&lt;&gt;"完了",1,0))</f>
        <v/>
      </c>
    </row>
    <row r="43" customFormat="false" ht="15" hidden="false" customHeight="false" outlineLevel="0" collapsed="false">
      <c r="A43" s="16"/>
      <c r="B43" s="16"/>
      <c r="C43" s="16"/>
      <c r="D43" s="16"/>
      <c r="E43" s="16"/>
      <c r="F43" s="16"/>
      <c r="G43" s="16"/>
      <c r="H43" s="16"/>
      <c r="I43" s="21"/>
      <c r="J43" s="16"/>
      <c r="K43" s="9" t="str">
        <f aca="false">IF($A43="","",IF(AND($F43="",$G43="",$H43=""),設定!$B$2,MAX(IF($F43="",0,IFERROR(WORKDAY(INDEX($L$3:$L$42,MATCH($F43,$A$3:$A$42,0)),1),0)),IF($G43="",0,IFERROR(WORKDAY(INDEX($L$3:$L$42,MATCH($G43,$A$3:$A$42,0)),1),0)),IF($H43="",0,IFERROR(WORKDAY(INDEX($L$3:$L$42,MATCH($H43,$A$3:$A$42,0)),1),0)))))</f>
        <v/>
      </c>
      <c r="L43" s="9" t="str">
        <f aca="false">IF($A43="","",WORKDAY($K43,$I43-1))</f>
        <v/>
      </c>
      <c r="M43" s="9" t="str">
        <f aca="false">IF($A43="","",WORKDAY($N43,-($I43-1)))</f>
        <v/>
      </c>
      <c r="N43" s="9" t="str">
        <f aca="false">IF($A43="","",IF(COUNTIF($F$44:$F$102,$A43)+COUNTIF($G$44:$G$102,$A43)+COUNTIF($H$44:$H$102,$A43)=0,設定!$B$3,MIN(IF(COUNTIF($F$44:$F$102,$A43)=0,999999,IFERROR(WORKDAY(_xlfn.MINIFS($M$44:$M$102,$F$44:$F$102,$A43),-1),999999)),IF(COUNTIF($G$44:$G$102,$A43)=0,999999,IFERROR(WORKDAY(_xlfn.MINIFS($M$44:$M$102,$G$44:$G$102,$A43),-1),999999)),IF(COUNTIF($H$44:$H$102,$A43)=0,999999,IFERROR(WORKDAY(_xlfn.MINIFS($M$44:$M$102,$H$44:$H$102,$A43),-1),999999)))))</f>
        <v/>
      </c>
      <c r="O43" s="22" t="str">
        <f aca="false">IF($A43="","",NETWORKDAYS($K43,$M43)-1)</f>
        <v/>
      </c>
      <c r="P43" s="22" t="str">
        <f aca="false">IF($A43="","",IF($O43&lt;=0,"クリティカル",""))</f>
        <v/>
      </c>
      <c r="Q43" s="22" t="str">
        <f aca="true">IF($A43="","",IF(AND($J43&lt;&gt;"完了",TODAY()&gt;$L43),"遅延",""))</f>
        <v/>
      </c>
      <c r="R43" s="22" t="str">
        <f aca="false">IF($A43="","",_xlfn.TEXTJOIN(", ",TRUE(),IF($F43="","",IF(IFERROR(INDEX($J$3:$J$102,MATCH($F43,$A$3:$A$102,0)),"")&lt;&gt;"完了",IFERROR(INDEX($C$3:$C$102,MATCH($F43,$A$3:$A$102,0)),""),"")),IF($G43="","",IF(IFERROR(INDEX($J$3:$J$102,MATCH($G43,$A$3:$A$102,0)),"")&lt;&gt;"完了",IFERROR(INDEX($C$3:$C$102,MATCH($G43,$A$3:$A$102,0)),""),"")),IF($H43="","",IF(IFERROR(INDEX($J$3:$J$102,MATCH($H43,$A$3:$A$102,0)),"")&lt;&gt;"完了",IFERROR(INDEX($C$3:$C$102,MATCH($H43,$A$3:$A$102,0)),""),""))))</f>
        <v/>
      </c>
      <c r="S43" s="22" t="str">
        <f aca="false">IF($A43="","",IF($J43&lt;&gt;"完了",1,0))</f>
        <v/>
      </c>
    </row>
    <row r="44" customFormat="false" ht="15" hidden="false" customHeight="false" outlineLevel="0" collapsed="false">
      <c r="A44" s="16"/>
      <c r="B44" s="16"/>
      <c r="C44" s="16"/>
      <c r="D44" s="16"/>
      <c r="E44" s="16"/>
      <c r="F44" s="16"/>
      <c r="G44" s="16"/>
      <c r="H44" s="16"/>
      <c r="I44" s="21"/>
      <c r="J44" s="16"/>
      <c r="K44" s="9" t="str">
        <f aca="false">IF($A44="","",IF(AND($F44="",$G44="",$H44=""),設定!$B$2,MAX(IF($F44="",0,IFERROR(WORKDAY(INDEX($L$3:$L$43,MATCH($F44,$A$3:$A$43,0)),1),0)),IF($G44="",0,IFERROR(WORKDAY(INDEX($L$3:$L$43,MATCH($G44,$A$3:$A$43,0)),1),0)),IF($H44="",0,IFERROR(WORKDAY(INDEX($L$3:$L$43,MATCH($H44,$A$3:$A$43,0)),1),0)))))</f>
        <v/>
      </c>
      <c r="L44" s="9" t="str">
        <f aca="false">IF($A44="","",WORKDAY($K44,$I44-1))</f>
        <v/>
      </c>
      <c r="M44" s="9" t="str">
        <f aca="false">IF($A44="","",WORKDAY($N44,-($I44-1)))</f>
        <v/>
      </c>
      <c r="N44" s="9" t="str">
        <f aca="false">IF($A44="","",IF(COUNTIF($F$45:$F$102,$A44)+COUNTIF($G$45:$G$102,$A44)+COUNTIF($H$45:$H$102,$A44)=0,設定!$B$3,MIN(IF(COUNTIF($F$45:$F$102,$A44)=0,999999,IFERROR(WORKDAY(_xlfn.MINIFS($M$45:$M$102,$F$45:$F$102,$A44),-1),999999)),IF(COUNTIF($G$45:$G$102,$A44)=0,999999,IFERROR(WORKDAY(_xlfn.MINIFS($M$45:$M$102,$G$45:$G$102,$A44),-1),999999)),IF(COUNTIF($H$45:$H$102,$A44)=0,999999,IFERROR(WORKDAY(_xlfn.MINIFS($M$45:$M$102,$H$45:$H$102,$A44),-1),999999)))))</f>
        <v/>
      </c>
      <c r="O44" s="22" t="str">
        <f aca="false">IF($A44="","",NETWORKDAYS($K44,$M44)-1)</f>
        <v/>
      </c>
      <c r="P44" s="22" t="str">
        <f aca="false">IF($A44="","",IF($O44&lt;=0,"クリティカル",""))</f>
        <v/>
      </c>
      <c r="Q44" s="22" t="str">
        <f aca="true">IF($A44="","",IF(AND($J44&lt;&gt;"完了",TODAY()&gt;$L44),"遅延",""))</f>
        <v/>
      </c>
      <c r="R44" s="22" t="str">
        <f aca="false">IF($A44="","",_xlfn.TEXTJOIN(", ",TRUE(),IF($F44="","",IF(IFERROR(INDEX($J$3:$J$102,MATCH($F44,$A$3:$A$102,0)),"")&lt;&gt;"完了",IFERROR(INDEX($C$3:$C$102,MATCH($F44,$A$3:$A$102,0)),""),"")),IF($G44="","",IF(IFERROR(INDEX($J$3:$J$102,MATCH($G44,$A$3:$A$102,0)),"")&lt;&gt;"完了",IFERROR(INDEX($C$3:$C$102,MATCH($G44,$A$3:$A$102,0)),""),"")),IF($H44="","",IF(IFERROR(INDEX($J$3:$J$102,MATCH($H44,$A$3:$A$102,0)),"")&lt;&gt;"完了",IFERROR(INDEX($C$3:$C$102,MATCH($H44,$A$3:$A$102,0)),""),""))))</f>
        <v/>
      </c>
      <c r="S44" s="22" t="str">
        <f aca="false">IF($A44="","",IF($J44&lt;&gt;"完了",1,0))</f>
        <v/>
      </c>
    </row>
    <row r="45" customFormat="false" ht="15" hidden="false" customHeight="false" outlineLevel="0" collapsed="false">
      <c r="A45" s="16"/>
      <c r="B45" s="16"/>
      <c r="C45" s="16"/>
      <c r="D45" s="16"/>
      <c r="E45" s="16"/>
      <c r="F45" s="16"/>
      <c r="G45" s="16"/>
      <c r="H45" s="16"/>
      <c r="I45" s="21"/>
      <c r="J45" s="16"/>
      <c r="K45" s="9" t="str">
        <f aca="false">IF($A45="","",IF(AND($F45="",$G45="",$H45=""),設定!$B$2,MAX(IF($F45="",0,IFERROR(WORKDAY(INDEX($L$3:$L$44,MATCH($F45,$A$3:$A$44,0)),1),0)),IF($G45="",0,IFERROR(WORKDAY(INDEX($L$3:$L$44,MATCH($G45,$A$3:$A$44,0)),1),0)),IF($H45="",0,IFERROR(WORKDAY(INDEX($L$3:$L$44,MATCH($H45,$A$3:$A$44,0)),1),0)))))</f>
        <v/>
      </c>
      <c r="L45" s="9" t="str">
        <f aca="false">IF($A45="","",WORKDAY($K45,$I45-1))</f>
        <v/>
      </c>
      <c r="M45" s="9" t="str">
        <f aca="false">IF($A45="","",WORKDAY($N45,-($I45-1)))</f>
        <v/>
      </c>
      <c r="N45" s="9" t="str">
        <f aca="false">IF($A45="","",IF(COUNTIF($F$46:$F$102,$A45)+COUNTIF($G$46:$G$102,$A45)+COUNTIF($H$46:$H$102,$A45)=0,設定!$B$3,MIN(IF(COUNTIF($F$46:$F$102,$A45)=0,999999,IFERROR(WORKDAY(_xlfn.MINIFS($M$46:$M$102,$F$46:$F$102,$A45),-1),999999)),IF(COUNTIF($G$46:$G$102,$A45)=0,999999,IFERROR(WORKDAY(_xlfn.MINIFS($M$46:$M$102,$G$46:$G$102,$A45),-1),999999)),IF(COUNTIF($H$46:$H$102,$A45)=0,999999,IFERROR(WORKDAY(_xlfn.MINIFS($M$46:$M$102,$H$46:$H$102,$A45),-1),999999)))))</f>
        <v/>
      </c>
      <c r="O45" s="22" t="str">
        <f aca="false">IF($A45="","",NETWORKDAYS($K45,$M45)-1)</f>
        <v/>
      </c>
      <c r="P45" s="22" t="str">
        <f aca="false">IF($A45="","",IF($O45&lt;=0,"クリティカル",""))</f>
        <v/>
      </c>
      <c r="Q45" s="22" t="str">
        <f aca="true">IF($A45="","",IF(AND($J45&lt;&gt;"完了",TODAY()&gt;$L45),"遅延",""))</f>
        <v/>
      </c>
      <c r="R45" s="22" t="str">
        <f aca="false">IF($A45="","",_xlfn.TEXTJOIN(", ",TRUE(),IF($F45="","",IF(IFERROR(INDEX($J$3:$J$102,MATCH($F45,$A$3:$A$102,0)),"")&lt;&gt;"完了",IFERROR(INDEX($C$3:$C$102,MATCH($F45,$A$3:$A$102,0)),""),"")),IF($G45="","",IF(IFERROR(INDEX($J$3:$J$102,MATCH($G45,$A$3:$A$102,0)),"")&lt;&gt;"完了",IFERROR(INDEX($C$3:$C$102,MATCH($G45,$A$3:$A$102,0)),""),"")),IF($H45="","",IF(IFERROR(INDEX($J$3:$J$102,MATCH($H45,$A$3:$A$102,0)),"")&lt;&gt;"完了",IFERROR(INDEX($C$3:$C$102,MATCH($H45,$A$3:$A$102,0)),""),""))))</f>
        <v/>
      </c>
      <c r="S45" s="22" t="str">
        <f aca="false">IF($A45="","",IF($J45&lt;&gt;"完了",1,0))</f>
        <v/>
      </c>
    </row>
    <row r="46" customFormat="false" ht="15" hidden="false" customHeight="false" outlineLevel="0" collapsed="false">
      <c r="A46" s="16"/>
      <c r="B46" s="16"/>
      <c r="C46" s="16"/>
      <c r="D46" s="16"/>
      <c r="E46" s="16"/>
      <c r="F46" s="16"/>
      <c r="G46" s="16"/>
      <c r="H46" s="16"/>
      <c r="I46" s="21"/>
      <c r="J46" s="16"/>
      <c r="K46" s="9" t="str">
        <f aca="false">IF($A46="","",IF(AND($F46="",$G46="",$H46=""),設定!$B$2,MAX(IF($F46="",0,IFERROR(WORKDAY(INDEX($L$3:$L$45,MATCH($F46,$A$3:$A$45,0)),1),0)),IF($G46="",0,IFERROR(WORKDAY(INDEX($L$3:$L$45,MATCH($G46,$A$3:$A$45,0)),1),0)),IF($H46="",0,IFERROR(WORKDAY(INDEX($L$3:$L$45,MATCH($H46,$A$3:$A$45,0)),1),0)))))</f>
        <v/>
      </c>
      <c r="L46" s="9" t="str">
        <f aca="false">IF($A46="","",WORKDAY($K46,$I46-1))</f>
        <v/>
      </c>
      <c r="M46" s="9" t="str">
        <f aca="false">IF($A46="","",WORKDAY($N46,-($I46-1)))</f>
        <v/>
      </c>
      <c r="N46" s="9" t="str">
        <f aca="false">IF($A46="","",IF(COUNTIF($F$47:$F$102,$A46)+COUNTIF($G$47:$G$102,$A46)+COUNTIF($H$47:$H$102,$A46)=0,設定!$B$3,MIN(IF(COUNTIF($F$47:$F$102,$A46)=0,999999,IFERROR(WORKDAY(_xlfn.MINIFS($M$47:$M$102,$F$47:$F$102,$A46),-1),999999)),IF(COUNTIF($G$47:$G$102,$A46)=0,999999,IFERROR(WORKDAY(_xlfn.MINIFS($M$47:$M$102,$G$47:$G$102,$A46),-1),999999)),IF(COUNTIF($H$47:$H$102,$A46)=0,999999,IFERROR(WORKDAY(_xlfn.MINIFS($M$47:$M$102,$H$47:$H$102,$A46),-1),999999)))))</f>
        <v/>
      </c>
      <c r="O46" s="22" t="str">
        <f aca="false">IF($A46="","",NETWORKDAYS($K46,$M46)-1)</f>
        <v/>
      </c>
      <c r="P46" s="22" t="str">
        <f aca="false">IF($A46="","",IF($O46&lt;=0,"クリティカル",""))</f>
        <v/>
      </c>
      <c r="Q46" s="22" t="str">
        <f aca="true">IF($A46="","",IF(AND($J46&lt;&gt;"完了",TODAY()&gt;$L46),"遅延",""))</f>
        <v/>
      </c>
      <c r="R46" s="22" t="str">
        <f aca="false">IF($A46="","",_xlfn.TEXTJOIN(", ",TRUE(),IF($F46="","",IF(IFERROR(INDEX($J$3:$J$102,MATCH($F46,$A$3:$A$102,0)),"")&lt;&gt;"完了",IFERROR(INDEX($C$3:$C$102,MATCH($F46,$A$3:$A$102,0)),""),"")),IF($G46="","",IF(IFERROR(INDEX($J$3:$J$102,MATCH($G46,$A$3:$A$102,0)),"")&lt;&gt;"完了",IFERROR(INDEX($C$3:$C$102,MATCH($G46,$A$3:$A$102,0)),""),"")),IF($H46="","",IF(IFERROR(INDEX($J$3:$J$102,MATCH($H46,$A$3:$A$102,0)),"")&lt;&gt;"完了",IFERROR(INDEX($C$3:$C$102,MATCH($H46,$A$3:$A$102,0)),""),""))))</f>
        <v/>
      </c>
      <c r="S46" s="22" t="str">
        <f aca="false">IF($A46="","",IF($J46&lt;&gt;"完了",1,0))</f>
        <v/>
      </c>
    </row>
    <row r="47" customFormat="false" ht="15" hidden="false" customHeight="false" outlineLevel="0" collapsed="false">
      <c r="A47" s="16"/>
      <c r="B47" s="16"/>
      <c r="C47" s="16"/>
      <c r="D47" s="16"/>
      <c r="E47" s="16"/>
      <c r="F47" s="16"/>
      <c r="G47" s="16"/>
      <c r="H47" s="16"/>
      <c r="I47" s="21"/>
      <c r="J47" s="16"/>
      <c r="K47" s="9" t="str">
        <f aca="false">IF($A47="","",IF(AND($F47="",$G47="",$H47=""),設定!$B$2,MAX(IF($F47="",0,IFERROR(WORKDAY(INDEX($L$3:$L$46,MATCH($F47,$A$3:$A$46,0)),1),0)),IF($G47="",0,IFERROR(WORKDAY(INDEX($L$3:$L$46,MATCH($G47,$A$3:$A$46,0)),1),0)),IF($H47="",0,IFERROR(WORKDAY(INDEX($L$3:$L$46,MATCH($H47,$A$3:$A$46,0)),1),0)))))</f>
        <v/>
      </c>
      <c r="L47" s="9" t="str">
        <f aca="false">IF($A47="","",WORKDAY($K47,$I47-1))</f>
        <v/>
      </c>
      <c r="M47" s="9" t="str">
        <f aca="false">IF($A47="","",WORKDAY($N47,-($I47-1)))</f>
        <v/>
      </c>
      <c r="N47" s="9" t="str">
        <f aca="false">IF($A47="","",IF(COUNTIF($F$48:$F$102,$A47)+COUNTIF($G$48:$G$102,$A47)+COUNTIF($H$48:$H$102,$A47)=0,設定!$B$3,MIN(IF(COUNTIF($F$48:$F$102,$A47)=0,999999,IFERROR(WORKDAY(_xlfn.MINIFS($M$48:$M$102,$F$48:$F$102,$A47),-1),999999)),IF(COUNTIF($G$48:$G$102,$A47)=0,999999,IFERROR(WORKDAY(_xlfn.MINIFS($M$48:$M$102,$G$48:$G$102,$A47),-1),999999)),IF(COUNTIF($H$48:$H$102,$A47)=0,999999,IFERROR(WORKDAY(_xlfn.MINIFS($M$48:$M$102,$H$48:$H$102,$A47),-1),999999)))))</f>
        <v/>
      </c>
      <c r="O47" s="22" t="str">
        <f aca="false">IF($A47="","",NETWORKDAYS($K47,$M47)-1)</f>
        <v/>
      </c>
      <c r="P47" s="22" t="str">
        <f aca="false">IF($A47="","",IF($O47&lt;=0,"クリティカル",""))</f>
        <v/>
      </c>
      <c r="Q47" s="22" t="str">
        <f aca="true">IF($A47="","",IF(AND($J47&lt;&gt;"完了",TODAY()&gt;$L47),"遅延",""))</f>
        <v/>
      </c>
      <c r="R47" s="22" t="str">
        <f aca="false">IF($A47="","",_xlfn.TEXTJOIN(", ",TRUE(),IF($F47="","",IF(IFERROR(INDEX($J$3:$J$102,MATCH($F47,$A$3:$A$102,0)),"")&lt;&gt;"完了",IFERROR(INDEX($C$3:$C$102,MATCH($F47,$A$3:$A$102,0)),""),"")),IF($G47="","",IF(IFERROR(INDEX($J$3:$J$102,MATCH($G47,$A$3:$A$102,0)),"")&lt;&gt;"完了",IFERROR(INDEX($C$3:$C$102,MATCH($G47,$A$3:$A$102,0)),""),"")),IF($H47="","",IF(IFERROR(INDEX($J$3:$J$102,MATCH($H47,$A$3:$A$102,0)),"")&lt;&gt;"完了",IFERROR(INDEX($C$3:$C$102,MATCH($H47,$A$3:$A$102,0)),""),""))))</f>
        <v/>
      </c>
      <c r="S47" s="22" t="str">
        <f aca="false">IF($A47="","",IF($J47&lt;&gt;"完了",1,0))</f>
        <v/>
      </c>
    </row>
    <row r="48" customFormat="false" ht="15" hidden="false" customHeight="false" outlineLevel="0" collapsed="false">
      <c r="A48" s="16"/>
      <c r="B48" s="16"/>
      <c r="C48" s="16"/>
      <c r="D48" s="16"/>
      <c r="E48" s="16"/>
      <c r="F48" s="16"/>
      <c r="G48" s="16"/>
      <c r="H48" s="16"/>
      <c r="I48" s="21"/>
      <c r="J48" s="16"/>
      <c r="K48" s="9" t="str">
        <f aca="false">IF($A48="","",IF(AND($F48="",$G48="",$H48=""),設定!$B$2,MAX(IF($F48="",0,IFERROR(WORKDAY(INDEX($L$3:$L$47,MATCH($F48,$A$3:$A$47,0)),1),0)),IF($G48="",0,IFERROR(WORKDAY(INDEX($L$3:$L$47,MATCH($G48,$A$3:$A$47,0)),1),0)),IF($H48="",0,IFERROR(WORKDAY(INDEX($L$3:$L$47,MATCH($H48,$A$3:$A$47,0)),1),0)))))</f>
        <v/>
      </c>
      <c r="L48" s="9" t="str">
        <f aca="false">IF($A48="","",WORKDAY($K48,$I48-1))</f>
        <v/>
      </c>
      <c r="M48" s="9" t="str">
        <f aca="false">IF($A48="","",WORKDAY($N48,-($I48-1)))</f>
        <v/>
      </c>
      <c r="N48" s="9" t="str">
        <f aca="false">IF($A48="","",IF(COUNTIF($F$49:$F$102,$A48)+COUNTIF($G$49:$G$102,$A48)+COUNTIF($H$49:$H$102,$A48)=0,設定!$B$3,MIN(IF(COUNTIF($F$49:$F$102,$A48)=0,999999,IFERROR(WORKDAY(_xlfn.MINIFS($M$49:$M$102,$F$49:$F$102,$A48),-1),999999)),IF(COUNTIF($G$49:$G$102,$A48)=0,999999,IFERROR(WORKDAY(_xlfn.MINIFS($M$49:$M$102,$G$49:$G$102,$A48),-1),999999)),IF(COUNTIF($H$49:$H$102,$A48)=0,999999,IFERROR(WORKDAY(_xlfn.MINIFS($M$49:$M$102,$H$49:$H$102,$A48),-1),999999)))))</f>
        <v/>
      </c>
      <c r="O48" s="22" t="str">
        <f aca="false">IF($A48="","",NETWORKDAYS($K48,$M48)-1)</f>
        <v/>
      </c>
      <c r="P48" s="22" t="str">
        <f aca="false">IF($A48="","",IF($O48&lt;=0,"クリティカル",""))</f>
        <v/>
      </c>
      <c r="Q48" s="22" t="str">
        <f aca="true">IF($A48="","",IF(AND($J48&lt;&gt;"完了",TODAY()&gt;$L48),"遅延",""))</f>
        <v/>
      </c>
      <c r="R48" s="22" t="str">
        <f aca="false">IF($A48="","",_xlfn.TEXTJOIN(", ",TRUE(),IF($F48="","",IF(IFERROR(INDEX($J$3:$J$102,MATCH($F48,$A$3:$A$102,0)),"")&lt;&gt;"完了",IFERROR(INDEX($C$3:$C$102,MATCH($F48,$A$3:$A$102,0)),""),"")),IF($G48="","",IF(IFERROR(INDEX($J$3:$J$102,MATCH($G48,$A$3:$A$102,0)),"")&lt;&gt;"完了",IFERROR(INDEX($C$3:$C$102,MATCH($G48,$A$3:$A$102,0)),""),"")),IF($H48="","",IF(IFERROR(INDEX($J$3:$J$102,MATCH($H48,$A$3:$A$102,0)),"")&lt;&gt;"完了",IFERROR(INDEX($C$3:$C$102,MATCH($H48,$A$3:$A$102,0)),""),""))))</f>
        <v/>
      </c>
      <c r="S48" s="22" t="str">
        <f aca="false">IF($A48="","",IF($J48&lt;&gt;"完了",1,0))</f>
        <v/>
      </c>
    </row>
    <row r="49" customFormat="false" ht="15" hidden="false" customHeight="false" outlineLevel="0" collapsed="false">
      <c r="A49" s="16"/>
      <c r="B49" s="16"/>
      <c r="C49" s="16"/>
      <c r="D49" s="16"/>
      <c r="E49" s="16"/>
      <c r="F49" s="16"/>
      <c r="G49" s="16"/>
      <c r="H49" s="16"/>
      <c r="I49" s="21"/>
      <c r="J49" s="16"/>
      <c r="K49" s="9" t="str">
        <f aca="false">IF($A49="","",IF(AND($F49="",$G49="",$H49=""),設定!$B$2,MAX(IF($F49="",0,IFERROR(WORKDAY(INDEX($L$3:$L$48,MATCH($F49,$A$3:$A$48,0)),1),0)),IF($G49="",0,IFERROR(WORKDAY(INDEX($L$3:$L$48,MATCH($G49,$A$3:$A$48,0)),1),0)),IF($H49="",0,IFERROR(WORKDAY(INDEX($L$3:$L$48,MATCH($H49,$A$3:$A$48,0)),1),0)))))</f>
        <v/>
      </c>
      <c r="L49" s="9" t="str">
        <f aca="false">IF($A49="","",WORKDAY($K49,$I49-1))</f>
        <v/>
      </c>
      <c r="M49" s="9" t="str">
        <f aca="false">IF($A49="","",WORKDAY($N49,-($I49-1)))</f>
        <v/>
      </c>
      <c r="N49" s="9" t="str">
        <f aca="false">IF($A49="","",IF(COUNTIF($F$50:$F$102,$A49)+COUNTIF($G$50:$G$102,$A49)+COUNTIF($H$50:$H$102,$A49)=0,設定!$B$3,MIN(IF(COUNTIF($F$50:$F$102,$A49)=0,999999,IFERROR(WORKDAY(_xlfn.MINIFS($M$50:$M$102,$F$50:$F$102,$A49),-1),999999)),IF(COUNTIF($G$50:$G$102,$A49)=0,999999,IFERROR(WORKDAY(_xlfn.MINIFS($M$50:$M$102,$G$50:$G$102,$A49),-1),999999)),IF(COUNTIF($H$50:$H$102,$A49)=0,999999,IFERROR(WORKDAY(_xlfn.MINIFS($M$50:$M$102,$H$50:$H$102,$A49),-1),999999)))))</f>
        <v/>
      </c>
      <c r="O49" s="22" t="str">
        <f aca="false">IF($A49="","",NETWORKDAYS($K49,$M49)-1)</f>
        <v/>
      </c>
      <c r="P49" s="22" t="str">
        <f aca="false">IF($A49="","",IF($O49&lt;=0,"クリティカル",""))</f>
        <v/>
      </c>
      <c r="Q49" s="22" t="str">
        <f aca="true">IF($A49="","",IF(AND($J49&lt;&gt;"完了",TODAY()&gt;$L49),"遅延",""))</f>
        <v/>
      </c>
      <c r="R49" s="22" t="str">
        <f aca="false">IF($A49="","",_xlfn.TEXTJOIN(", ",TRUE(),IF($F49="","",IF(IFERROR(INDEX($J$3:$J$102,MATCH($F49,$A$3:$A$102,0)),"")&lt;&gt;"完了",IFERROR(INDEX($C$3:$C$102,MATCH($F49,$A$3:$A$102,0)),""),"")),IF($G49="","",IF(IFERROR(INDEX($J$3:$J$102,MATCH($G49,$A$3:$A$102,0)),"")&lt;&gt;"完了",IFERROR(INDEX($C$3:$C$102,MATCH($G49,$A$3:$A$102,0)),""),"")),IF($H49="","",IF(IFERROR(INDEX($J$3:$J$102,MATCH($H49,$A$3:$A$102,0)),"")&lt;&gt;"完了",IFERROR(INDEX($C$3:$C$102,MATCH($H49,$A$3:$A$102,0)),""),""))))</f>
        <v/>
      </c>
      <c r="S49" s="22" t="str">
        <f aca="false">IF($A49="","",IF($J49&lt;&gt;"完了",1,0))</f>
        <v/>
      </c>
    </row>
    <row r="50" customFormat="false" ht="15" hidden="false" customHeight="false" outlineLevel="0" collapsed="false">
      <c r="A50" s="16"/>
      <c r="B50" s="16"/>
      <c r="C50" s="16"/>
      <c r="D50" s="16"/>
      <c r="E50" s="16"/>
      <c r="F50" s="16"/>
      <c r="G50" s="16"/>
      <c r="H50" s="16"/>
      <c r="I50" s="21"/>
      <c r="J50" s="16"/>
      <c r="K50" s="9" t="str">
        <f aca="false">IF($A50="","",IF(AND($F50="",$G50="",$H50=""),設定!$B$2,MAX(IF($F50="",0,IFERROR(WORKDAY(INDEX($L$3:$L$49,MATCH($F50,$A$3:$A$49,0)),1),0)),IF($G50="",0,IFERROR(WORKDAY(INDEX($L$3:$L$49,MATCH($G50,$A$3:$A$49,0)),1),0)),IF($H50="",0,IFERROR(WORKDAY(INDEX($L$3:$L$49,MATCH($H50,$A$3:$A$49,0)),1),0)))))</f>
        <v/>
      </c>
      <c r="L50" s="9" t="str">
        <f aca="false">IF($A50="","",WORKDAY($K50,$I50-1))</f>
        <v/>
      </c>
      <c r="M50" s="9" t="str">
        <f aca="false">IF($A50="","",WORKDAY($N50,-($I50-1)))</f>
        <v/>
      </c>
      <c r="N50" s="9" t="str">
        <f aca="false">IF($A50="","",IF(COUNTIF($F$51:$F$102,$A50)+COUNTIF($G$51:$G$102,$A50)+COUNTIF($H$51:$H$102,$A50)=0,設定!$B$3,MIN(IF(COUNTIF($F$51:$F$102,$A50)=0,999999,IFERROR(WORKDAY(_xlfn.MINIFS($M$51:$M$102,$F$51:$F$102,$A50),-1),999999)),IF(COUNTIF($G$51:$G$102,$A50)=0,999999,IFERROR(WORKDAY(_xlfn.MINIFS($M$51:$M$102,$G$51:$G$102,$A50),-1),999999)),IF(COUNTIF($H$51:$H$102,$A50)=0,999999,IFERROR(WORKDAY(_xlfn.MINIFS($M$51:$M$102,$H$51:$H$102,$A50),-1),999999)))))</f>
        <v/>
      </c>
      <c r="O50" s="22" t="str">
        <f aca="false">IF($A50="","",NETWORKDAYS($K50,$M50)-1)</f>
        <v/>
      </c>
      <c r="P50" s="22" t="str">
        <f aca="false">IF($A50="","",IF($O50&lt;=0,"クリティカル",""))</f>
        <v/>
      </c>
      <c r="Q50" s="22" t="str">
        <f aca="true">IF($A50="","",IF(AND($J50&lt;&gt;"完了",TODAY()&gt;$L50),"遅延",""))</f>
        <v/>
      </c>
      <c r="R50" s="22" t="str">
        <f aca="false">IF($A50="","",_xlfn.TEXTJOIN(", ",TRUE(),IF($F50="","",IF(IFERROR(INDEX($J$3:$J$102,MATCH($F50,$A$3:$A$102,0)),"")&lt;&gt;"完了",IFERROR(INDEX($C$3:$C$102,MATCH($F50,$A$3:$A$102,0)),""),"")),IF($G50="","",IF(IFERROR(INDEX($J$3:$J$102,MATCH($G50,$A$3:$A$102,0)),"")&lt;&gt;"完了",IFERROR(INDEX($C$3:$C$102,MATCH($G50,$A$3:$A$102,0)),""),"")),IF($H50="","",IF(IFERROR(INDEX($J$3:$J$102,MATCH($H50,$A$3:$A$102,0)),"")&lt;&gt;"完了",IFERROR(INDEX($C$3:$C$102,MATCH($H50,$A$3:$A$102,0)),""),""))))</f>
        <v/>
      </c>
      <c r="S50" s="22" t="str">
        <f aca="false">IF($A50="","",IF($J50&lt;&gt;"完了",1,0))</f>
        <v/>
      </c>
    </row>
    <row r="51" customFormat="false" ht="15" hidden="false" customHeight="false" outlineLevel="0" collapsed="false">
      <c r="A51" s="16"/>
      <c r="B51" s="16"/>
      <c r="C51" s="16"/>
      <c r="D51" s="16"/>
      <c r="E51" s="16"/>
      <c r="F51" s="16"/>
      <c r="G51" s="16"/>
      <c r="H51" s="16"/>
      <c r="I51" s="21"/>
      <c r="J51" s="16"/>
      <c r="K51" s="9" t="str">
        <f aca="false">IF($A51="","",IF(AND($F51="",$G51="",$H51=""),設定!$B$2,MAX(IF($F51="",0,IFERROR(WORKDAY(INDEX($L$3:$L$50,MATCH($F51,$A$3:$A$50,0)),1),0)),IF($G51="",0,IFERROR(WORKDAY(INDEX($L$3:$L$50,MATCH($G51,$A$3:$A$50,0)),1),0)),IF($H51="",0,IFERROR(WORKDAY(INDEX($L$3:$L$50,MATCH($H51,$A$3:$A$50,0)),1),0)))))</f>
        <v/>
      </c>
      <c r="L51" s="9" t="str">
        <f aca="false">IF($A51="","",WORKDAY($K51,$I51-1))</f>
        <v/>
      </c>
      <c r="M51" s="9" t="str">
        <f aca="false">IF($A51="","",WORKDAY($N51,-($I51-1)))</f>
        <v/>
      </c>
      <c r="N51" s="9" t="str">
        <f aca="false">IF($A51="","",IF(COUNTIF($F$52:$F$102,$A51)+COUNTIF($G$52:$G$102,$A51)+COUNTIF($H$52:$H$102,$A51)=0,設定!$B$3,MIN(IF(COUNTIF($F$52:$F$102,$A51)=0,999999,IFERROR(WORKDAY(_xlfn.MINIFS($M$52:$M$102,$F$52:$F$102,$A51),-1),999999)),IF(COUNTIF($G$52:$G$102,$A51)=0,999999,IFERROR(WORKDAY(_xlfn.MINIFS($M$52:$M$102,$G$52:$G$102,$A51),-1),999999)),IF(COUNTIF($H$52:$H$102,$A51)=0,999999,IFERROR(WORKDAY(_xlfn.MINIFS($M$52:$M$102,$H$52:$H$102,$A51),-1),999999)))))</f>
        <v/>
      </c>
      <c r="O51" s="22" t="str">
        <f aca="false">IF($A51="","",NETWORKDAYS($K51,$M51)-1)</f>
        <v/>
      </c>
      <c r="P51" s="22" t="str">
        <f aca="false">IF($A51="","",IF($O51&lt;=0,"クリティカル",""))</f>
        <v/>
      </c>
      <c r="Q51" s="22" t="str">
        <f aca="true">IF($A51="","",IF(AND($J51&lt;&gt;"完了",TODAY()&gt;$L51),"遅延",""))</f>
        <v/>
      </c>
      <c r="R51" s="22" t="str">
        <f aca="false">IF($A51="","",_xlfn.TEXTJOIN(", ",TRUE(),IF($F51="","",IF(IFERROR(INDEX($J$3:$J$102,MATCH($F51,$A$3:$A$102,0)),"")&lt;&gt;"完了",IFERROR(INDEX($C$3:$C$102,MATCH($F51,$A$3:$A$102,0)),""),"")),IF($G51="","",IF(IFERROR(INDEX($J$3:$J$102,MATCH($G51,$A$3:$A$102,0)),"")&lt;&gt;"完了",IFERROR(INDEX($C$3:$C$102,MATCH($G51,$A$3:$A$102,0)),""),"")),IF($H51="","",IF(IFERROR(INDEX($J$3:$J$102,MATCH($H51,$A$3:$A$102,0)),"")&lt;&gt;"完了",IFERROR(INDEX($C$3:$C$102,MATCH($H51,$A$3:$A$102,0)),""),""))))</f>
        <v/>
      </c>
      <c r="S51" s="22" t="str">
        <f aca="false">IF($A51="","",IF($J51&lt;&gt;"完了",1,0))</f>
        <v/>
      </c>
    </row>
    <row r="52" customFormat="false" ht="15" hidden="false" customHeight="false" outlineLevel="0" collapsed="false">
      <c r="A52" s="16"/>
      <c r="B52" s="16"/>
      <c r="C52" s="16"/>
      <c r="D52" s="16"/>
      <c r="E52" s="16"/>
      <c r="F52" s="16"/>
      <c r="G52" s="16"/>
      <c r="H52" s="16"/>
      <c r="I52" s="21"/>
      <c r="J52" s="16"/>
      <c r="K52" s="9" t="str">
        <f aca="false">IF($A52="","",IF(AND($F52="",$G52="",$H52=""),設定!$B$2,MAX(IF($F52="",0,IFERROR(WORKDAY(INDEX($L$3:$L$51,MATCH($F52,$A$3:$A$51,0)),1),0)),IF($G52="",0,IFERROR(WORKDAY(INDEX($L$3:$L$51,MATCH($G52,$A$3:$A$51,0)),1),0)),IF($H52="",0,IFERROR(WORKDAY(INDEX($L$3:$L$51,MATCH($H52,$A$3:$A$51,0)),1),0)))))</f>
        <v/>
      </c>
      <c r="L52" s="9" t="str">
        <f aca="false">IF($A52="","",WORKDAY($K52,$I52-1))</f>
        <v/>
      </c>
      <c r="M52" s="9" t="str">
        <f aca="false">IF($A52="","",WORKDAY($N52,-($I52-1)))</f>
        <v/>
      </c>
      <c r="N52" s="9" t="str">
        <f aca="false">IF($A52="","",IF(COUNTIF($F$53:$F$102,$A52)+COUNTIF($G$53:$G$102,$A52)+COUNTIF($H$53:$H$102,$A52)=0,設定!$B$3,MIN(IF(COUNTIF($F$53:$F$102,$A52)=0,999999,IFERROR(WORKDAY(_xlfn.MINIFS($M$53:$M$102,$F$53:$F$102,$A52),-1),999999)),IF(COUNTIF($G$53:$G$102,$A52)=0,999999,IFERROR(WORKDAY(_xlfn.MINIFS($M$53:$M$102,$G$53:$G$102,$A52),-1),999999)),IF(COUNTIF($H$53:$H$102,$A52)=0,999999,IFERROR(WORKDAY(_xlfn.MINIFS($M$53:$M$102,$H$53:$H$102,$A52),-1),999999)))))</f>
        <v/>
      </c>
      <c r="O52" s="22" t="str">
        <f aca="false">IF($A52="","",NETWORKDAYS($K52,$M52)-1)</f>
        <v/>
      </c>
      <c r="P52" s="22" t="str">
        <f aca="false">IF($A52="","",IF($O52&lt;=0,"クリティカル",""))</f>
        <v/>
      </c>
      <c r="Q52" s="22" t="str">
        <f aca="true">IF($A52="","",IF(AND($J52&lt;&gt;"完了",TODAY()&gt;$L52),"遅延",""))</f>
        <v/>
      </c>
      <c r="R52" s="22" t="str">
        <f aca="false">IF($A52="","",_xlfn.TEXTJOIN(", ",TRUE(),IF($F52="","",IF(IFERROR(INDEX($J$3:$J$102,MATCH($F52,$A$3:$A$102,0)),"")&lt;&gt;"完了",IFERROR(INDEX($C$3:$C$102,MATCH($F52,$A$3:$A$102,0)),""),"")),IF($G52="","",IF(IFERROR(INDEX($J$3:$J$102,MATCH($G52,$A$3:$A$102,0)),"")&lt;&gt;"完了",IFERROR(INDEX($C$3:$C$102,MATCH($G52,$A$3:$A$102,0)),""),"")),IF($H52="","",IF(IFERROR(INDEX($J$3:$J$102,MATCH($H52,$A$3:$A$102,0)),"")&lt;&gt;"完了",IFERROR(INDEX($C$3:$C$102,MATCH($H52,$A$3:$A$102,0)),""),""))))</f>
        <v/>
      </c>
      <c r="S52" s="22" t="str">
        <f aca="false">IF($A52="","",IF($J52&lt;&gt;"完了",1,0))</f>
        <v/>
      </c>
    </row>
    <row r="53" customFormat="false" ht="15" hidden="false" customHeight="false" outlineLevel="0" collapsed="false">
      <c r="A53" s="16"/>
      <c r="B53" s="16"/>
      <c r="C53" s="16"/>
      <c r="D53" s="16"/>
      <c r="E53" s="16"/>
      <c r="F53" s="16"/>
      <c r="G53" s="16"/>
      <c r="H53" s="16"/>
      <c r="I53" s="21"/>
      <c r="J53" s="16"/>
      <c r="K53" s="9" t="str">
        <f aca="false">IF($A53="","",IF(AND($F53="",$G53="",$H53=""),設定!$B$2,MAX(IF($F53="",0,IFERROR(WORKDAY(INDEX($L$3:$L$52,MATCH($F53,$A$3:$A$52,0)),1),0)),IF($G53="",0,IFERROR(WORKDAY(INDEX($L$3:$L$52,MATCH($G53,$A$3:$A$52,0)),1),0)),IF($H53="",0,IFERROR(WORKDAY(INDEX($L$3:$L$52,MATCH($H53,$A$3:$A$52,0)),1),0)))))</f>
        <v/>
      </c>
      <c r="L53" s="9" t="str">
        <f aca="false">IF($A53="","",WORKDAY($K53,$I53-1))</f>
        <v/>
      </c>
      <c r="M53" s="9" t="str">
        <f aca="false">IF($A53="","",WORKDAY($N53,-($I53-1)))</f>
        <v/>
      </c>
      <c r="N53" s="9" t="str">
        <f aca="false">IF($A53="","",IF(COUNTIF($F$54:$F$102,$A53)+COUNTIF($G$54:$G$102,$A53)+COUNTIF($H$54:$H$102,$A53)=0,設定!$B$3,MIN(IF(COUNTIF($F$54:$F$102,$A53)=0,999999,IFERROR(WORKDAY(_xlfn.MINIFS($M$54:$M$102,$F$54:$F$102,$A53),-1),999999)),IF(COUNTIF($G$54:$G$102,$A53)=0,999999,IFERROR(WORKDAY(_xlfn.MINIFS($M$54:$M$102,$G$54:$G$102,$A53),-1),999999)),IF(COUNTIF($H$54:$H$102,$A53)=0,999999,IFERROR(WORKDAY(_xlfn.MINIFS($M$54:$M$102,$H$54:$H$102,$A53),-1),999999)))))</f>
        <v/>
      </c>
      <c r="O53" s="22" t="str">
        <f aca="false">IF($A53="","",NETWORKDAYS($K53,$M53)-1)</f>
        <v/>
      </c>
      <c r="P53" s="22" t="str">
        <f aca="false">IF($A53="","",IF($O53&lt;=0,"クリティカル",""))</f>
        <v/>
      </c>
      <c r="Q53" s="22" t="str">
        <f aca="true">IF($A53="","",IF(AND($J53&lt;&gt;"完了",TODAY()&gt;$L53),"遅延",""))</f>
        <v/>
      </c>
      <c r="R53" s="22" t="str">
        <f aca="false">IF($A53="","",_xlfn.TEXTJOIN(", ",TRUE(),IF($F53="","",IF(IFERROR(INDEX($J$3:$J$102,MATCH($F53,$A$3:$A$102,0)),"")&lt;&gt;"完了",IFERROR(INDEX($C$3:$C$102,MATCH($F53,$A$3:$A$102,0)),""),"")),IF($G53="","",IF(IFERROR(INDEX($J$3:$J$102,MATCH($G53,$A$3:$A$102,0)),"")&lt;&gt;"完了",IFERROR(INDEX($C$3:$C$102,MATCH($G53,$A$3:$A$102,0)),""),"")),IF($H53="","",IF(IFERROR(INDEX($J$3:$J$102,MATCH($H53,$A$3:$A$102,0)),"")&lt;&gt;"完了",IFERROR(INDEX($C$3:$C$102,MATCH($H53,$A$3:$A$102,0)),""),""))))</f>
        <v/>
      </c>
      <c r="S53" s="22" t="str">
        <f aca="false">IF($A53="","",IF($J53&lt;&gt;"完了",1,0))</f>
        <v/>
      </c>
    </row>
    <row r="54" customFormat="false" ht="15" hidden="false" customHeight="false" outlineLevel="0" collapsed="false">
      <c r="A54" s="16"/>
      <c r="B54" s="16"/>
      <c r="C54" s="16"/>
      <c r="D54" s="16"/>
      <c r="E54" s="16"/>
      <c r="F54" s="16"/>
      <c r="G54" s="16"/>
      <c r="H54" s="16"/>
      <c r="I54" s="21"/>
      <c r="J54" s="16"/>
      <c r="K54" s="9" t="str">
        <f aca="false">IF($A54="","",IF(AND($F54="",$G54="",$H54=""),設定!$B$2,MAX(IF($F54="",0,IFERROR(WORKDAY(INDEX($L$3:$L$53,MATCH($F54,$A$3:$A$53,0)),1),0)),IF($G54="",0,IFERROR(WORKDAY(INDEX($L$3:$L$53,MATCH($G54,$A$3:$A$53,0)),1),0)),IF($H54="",0,IFERROR(WORKDAY(INDEX($L$3:$L$53,MATCH($H54,$A$3:$A$53,0)),1),0)))))</f>
        <v/>
      </c>
      <c r="L54" s="9" t="str">
        <f aca="false">IF($A54="","",WORKDAY($K54,$I54-1))</f>
        <v/>
      </c>
      <c r="M54" s="9" t="str">
        <f aca="false">IF($A54="","",WORKDAY($N54,-($I54-1)))</f>
        <v/>
      </c>
      <c r="N54" s="9" t="str">
        <f aca="false">IF($A54="","",IF(COUNTIF($F$55:$F$102,$A54)+COUNTIF($G$55:$G$102,$A54)+COUNTIF($H$55:$H$102,$A54)=0,設定!$B$3,MIN(IF(COUNTIF($F$55:$F$102,$A54)=0,999999,IFERROR(WORKDAY(_xlfn.MINIFS($M$55:$M$102,$F$55:$F$102,$A54),-1),999999)),IF(COUNTIF($G$55:$G$102,$A54)=0,999999,IFERROR(WORKDAY(_xlfn.MINIFS($M$55:$M$102,$G$55:$G$102,$A54),-1),999999)),IF(COUNTIF($H$55:$H$102,$A54)=0,999999,IFERROR(WORKDAY(_xlfn.MINIFS($M$55:$M$102,$H$55:$H$102,$A54),-1),999999)))))</f>
        <v/>
      </c>
      <c r="O54" s="22" t="str">
        <f aca="false">IF($A54="","",NETWORKDAYS($K54,$M54)-1)</f>
        <v/>
      </c>
      <c r="P54" s="22" t="str">
        <f aca="false">IF($A54="","",IF($O54&lt;=0,"クリティカル",""))</f>
        <v/>
      </c>
      <c r="Q54" s="22" t="str">
        <f aca="true">IF($A54="","",IF(AND($J54&lt;&gt;"完了",TODAY()&gt;$L54),"遅延",""))</f>
        <v/>
      </c>
      <c r="R54" s="22" t="str">
        <f aca="false">IF($A54="","",_xlfn.TEXTJOIN(", ",TRUE(),IF($F54="","",IF(IFERROR(INDEX($J$3:$J$102,MATCH($F54,$A$3:$A$102,0)),"")&lt;&gt;"完了",IFERROR(INDEX($C$3:$C$102,MATCH($F54,$A$3:$A$102,0)),""),"")),IF($G54="","",IF(IFERROR(INDEX($J$3:$J$102,MATCH($G54,$A$3:$A$102,0)),"")&lt;&gt;"完了",IFERROR(INDEX($C$3:$C$102,MATCH($G54,$A$3:$A$102,0)),""),"")),IF($H54="","",IF(IFERROR(INDEX($J$3:$J$102,MATCH($H54,$A$3:$A$102,0)),"")&lt;&gt;"完了",IFERROR(INDEX($C$3:$C$102,MATCH($H54,$A$3:$A$102,0)),""),""))))</f>
        <v/>
      </c>
      <c r="S54" s="22" t="str">
        <f aca="false">IF($A54="","",IF($J54&lt;&gt;"完了",1,0))</f>
        <v/>
      </c>
    </row>
    <row r="55" customFormat="false" ht="15" hidden="false" customHeight="false" outlineLevel="0" collapsed="false">
      <c r="A55" s="16"/>
      <c r="B55" s="16"/>
      <c r="C55" s="16"/>
      <c r="D55" s="16"/>
      <c r="E55" s="16"/>
      <c r="F55" s="16"/>
      <c r="G55" s="16"/>
      <c r="H55" s="16"/>
      <c r="I55" s="21"/>
      <c r="J55" s="16"/>
      <c r="K55" s="9" t="str">
        <f aca="false">IF($A55="","",IF(AND($F55="",$G55="",$H55=""),設定!$B$2,MAX(IF($F55="",0,IFERROR(WORKDAY(INDEX($L$3:$L$54,MATCH($F55,$A$3:$A$54,0)),1),0)),IF($G55="",0,IFERROR(WORKDAY(INDEX($L$3:$L$54,MATCH($G55,$A$3:$A$54,0)),1),0)),IF($H55="",0,IFERROR(WORKDAY(INDEX($L$3:$L$54,MATCH($H55,$A$3:$A$54,0)),1),0)))))</f>
        <v/>
      </c>
      <c r="L55" s="9" t="str">
        <f aca="false">IF($A55="","",WORKDAY($K55,$I55-1))</f>
        <v/>
      </c>
      <c r="M55" s="9" t="str">
        <f aca="false">IF($A55="","",WORKDAY($N55,-($I55-1)))</f>
        <v/>
      </c>
      <c r="N55" s="9" t="str">
        <f aca="false">IF($A55="","",IF(COUNTIF($F$56:$F$102,$A55)+COUNTIF($G$56:$G$102,$A55)+COUNTIF($H$56:$H$102,$A55)=0,設定!$B$3,MIN(IF(COUNTIF($F$56:$F$102,$A55)=0,999999,IFERROR(WORKDAY(_xlfn.MINIFS($M$56:$M$102,$F$56:$F$102,$A55),-1),999999)),IF(COUNTIF($G$56:$G$102,$A55)=0,999999,IFERROR(WORKDAY(_xlfn.MINIFS($M$56:$M$102,$G$56:$G$102,$A55),-1),999999)),IF(COUNTIF($H$56:$H$102,$A55)=0,999999,IFERROR(WORKDAY(_xlfn.MINIFS($M$56:$M$102,$H$56:$H$102,$A55),-1),999999)))))</f>
        <v/>
      </c>
      <c r="O55" s="22" t="str">
        <f aca="false">IF($A55="","",NETWORKDAYS($K55,$M55)-1)</f>
        <v/>
      </c>
      <c r="P55" s="22" t="str">
        <f aca="false">IF($A55="","",IF($O55&lt;=0,"クリティカル",""))</f>
        <v/>
      </c>
      <c r="Q55" s="22" t="str">
        <f aca="true">IF($A55="","",IF(AND($J55&lt;&gt;"完了",TODAY()&gt;$L55),"遅延",""))</f>
        <v/>
      </c>
      <c r="R55" s="22" t="str">
        <f aca="false">IF($A55="","",_xlfn.TEXTJOIN(", ",TRUE(),IF($F55="","",IF(IFERROR(INDEX($J$3:$J$102,MATCH($F55,$A$3:$A$102,0)),"")&lt;&gt;"完了",IFERROR(INDEX($C$3:$C$102,MATCH($F55,$A$3:$A$102,0)),""),"")),IF($G55="","",IF(IFERROR(INDEX($J$3:$J$102,MATCH($G55,$A$3:$A$102,0)),"")&lt;&gt;"完了",IFERROR(INDEX($C$3:$C$102,MATCH($G55,$A$3:$A$102,0)),""),"")),IF($H55="","",IF(IFERROR(INDEX($J$3:$J$102,MATCH($H55,$A$3:$A$102,0)),"")&lt;&gt;"完了",IFERROR(INDEX($C$3:$C$102,MATCH($H55,$A$3:$A$102,0)),""),""))))</f>
        <v/>
      </c>
      <c r="S55" s="22" t="str">
        <f aca="false">IF($A55="","",IF($J55&lt;&gt;"完了",1,0))</f>
        <v/>
      </c>
    </row>
    <row r="56" customFormat="false" ht="15" hidden="false" customHeight="false" outlineLevel="0" collapsed="false">
      <c r="A56" s="16"/>
      <c r="B56" s="16"/>
      <c r="C56" s="16"/>
      <c r="D56" s="16"/>
      <c r="E56" s="16"/>
      <c r="F56" s="16"/>
      <c r="G56" s="16"/>
      <c r="H56" s="16"/>
      <c r="I56" s="21"/>
      <c r="J56" s="16"/>
      <c r="K56" s="9" t="str">
        <f aca="false">IF($A56="","",IF(AND($F56="",$G56="",$H56=""),設定!$B$2,MAX(IF($F56="",0,IFERROR(WORKDAY(INDEX($L$3:$L$55,MATCH($F56,$A$3:$A$55,0)),1),0)),IF($G56="",0,IFERROR(WORKDAY(INDEX($L$3:$L$55,MATCH($G56,$A$3:$A$55,0)),1),0)),IF($H56="",0,IFERROR(WORKDAY(INDEX($L$3:$L$55,MATCH($H56,$A$3:$A$55,0)),1),0)))))</f>
        <v/>
      </c>
      <c r="L56" s="9" t="str">
        <f aca="false">IF($A56="","",WORKDAY($K56,$I56-1))</f>
        <v/>
      </c>
      <c r="M56" s="9" t="str">
        <f aca="false">IF($A56="","",WORKDAY($N56,-($I56-1)))</f>
        <v/>
      </c>
      <c r="N56" s="9" t="str">
        <f aca="false">IF($A56="","",IF(COUNTIF($F$57:$F$102,$A56)+COUNTIF($G$57:$G$102,$A56)+COUNTIF($H$57:$H$102,$A56)=0,設定!$B$3,MIN(IF(COUNTIF($F$57:$F$102,$A56)=0,999999,IFERROR(WORKDAY(_xlfn.MINIFS($M$57:$M$102,$F$57:$F$102,$A56),-1),999999)),IF(COUNTIF($G$57:$G$102,$A56)=0,999999,IFERROR(WORKDAY(_xlfn.MINIFS($M$57:$M$102,$G$57:$G$102,$A56),-1),999999)),IF(COUNTIF($H$57:$H$102,$A56)=0,999999,IFERROR(WORKDAY(_xlfn.MINIFS($M$57:$M$102,$H$57:$H$102,$A56),-1),999999)))))</f>
        <v/>
      </c>
      <c r="O56" s="22" t="str">
        <f aca="false">IF($A56="","",NETWORKDAYS($K56,$M56)-1)</f>
        <v/>
      </c>
      <c r="P56" s="22" t="str">
        <f aca="false">IF($A56="","",IF($O56&lt;=0,"クリティカル",""))</f>
        <v/>
      </c>
      <c r="Q56" s="22" t="str">
        <f aca="true">IF($A56="","",IF(AND($J56&lt;&gt;"完了",TODAY()&gt;$L56),"遅延",""))</f>
        <v/>
      </c>
      <c r="R56" s="22" t="str">
        <f aca="false">IF($A56="","",_xlfn.TEXTJOIN(", ",TRUE(),IF($F56="","",IF(IFERROR(INDEX($J$3:$J$102,MATCH($F56,$A$3:$A$102,0)),"")&lt;&gt;"完了",IFERROR(INDEX($C$3:$C$102,MATCH($F56,$A$3:$A$102,0)),""),"")),IF($G56="","",IF(IFERROR(INDEX($J$3:$J$102,MATCH($G56,$A$3:$A$102,0)),"")&lt;&gt;"完了",IFERROR(INDEX($C$3:$C$102,MATCH($G56,$A$3:$A$102,0)),""),"")),IF($H56="","",IF(IFERROR(INDEX($J$3:$J$102,MATCH($H56,$A$3:$A$102,0)),"")&lt;&gt;"完了",IFERROR(INDEX($C$3:$C$102,MATCH($H56,$A$3:$A$102,0)),""),""))))</f>
        <v/>
      </c>
      <c r="S56" s="22" t="str">
        <f aca="false">IF($A56="","",IF($J56&lt;&gt;"完了",1,0))</f>
        <v/>
      </c>
    </row>
    <row r="57" customFormat="false" ht="15" hidden="false" customHeight="false" outlineLevel="0" collapsed="false">
      <c r="A57" s="16"/>
      <c r="B57" s="16"/>
      <c r="C57" s="16"/>
      <c r="D57" s="16"/>
      <c r="E57" s="16"/>
      <c r="F57" s="16"/>
      <c r="G57" s="16"/>
      <c r="H57" s="16"/>
      <c r="I57" s="21"/>
      <c r="J57" s="16"/>
      <c r="K57" s="9" t="str">
        <f aca="false">IF($A57="","",IF(AND($F57="",$G57="",$H57=""),設定!$B$2,MAX(IF($F57="",0,IFERROR(WORKDAY(INDEX($L$3:$L$56,MATCH($F57,$A$3:$A$56,0)),1),0)),IF($G57="",0,IFERROR(WORKDAY(INDEX($L$3:$L$56,MATCH($G57,$A$3:$A$56,0)),1),0)),IF($H57="",0,IFERROR(WORKDAY(INDEX($L$3:$L$56,MATCH($H57,$A$3:$A$56,0)),1),0)))))</f>
        <v/>
      </c>
      <c r="L57" s="9" t="str">
        <f aca="false">IF($A57="","",WORKDAY($K57,$I57-1))</f>
        <v/>
      </c>
      <c r="M57" s="9" t="str">
        <f aca="false">IF($A57="","",WORKDAY($N57,-($I57-1)))</f>
        <v/>
      </c>
      <c r="N57" s="9" t="str">
        <f aca="false">IF($A57="","",IF(COUNTIF($F$58:$F$102,$A57)+COUNTIF($G$58:$G$102,$A57)+COUNTIF($H$58:$H$102,$A57)=0,設定!$B$3,MIN(IF(COUNTIF($F$58:$F$102,$A57)=0,999999,IFERROR(WORKDAY(_xlfn.MINIFS($M$58:$M$102,$F$58:$F$102,$A57),-1),999999)),IF(COUNTIF($G$58:$G$102,$A57)=0,999999,IFERROR(WORKDAY(_xlfn.MINIFS($M$58:$M$102,$G$58:$G$102,$A57),-1),999999)),IF(COUNTIF($H$58:$H$102,$A57)=0,999999,IFERROR(WORKDAY(_xlfn.MINIFS($M$58:$M$102,$H$58:$H$102,$A57),-1),999999)))))</f>
        <v/>
      </c>
      <c r="O57" s="22" t="str">
        <f aca="false">IF($A57="","",NETWORKDAYS($K57,$M57)-1)</f>
        <v/>
      </c>
      <c r="P57" s="22" t="str">
        <f aca="false">IF($A57="","",IF($O57&lt;=0,"クリティカル",""))</f>
        <v/>
      </c>
      <c r="Q57" s="22" t="str">
        <f aca="true">IF($A57="","",IF(AND($J57&lt;&gt;"完了",TODAY()&gt;$L57),"遅延",""))</f>
        <v/>
      </c>
      <c r="R57" s="22" t="str">
        <f aca="false">IF($A57="","",_xlfn.TEXTJOIN(", ",TRUE(),IF($F57="","",IF(IFERROR(INDEX($J$3:$J$102,MATCH($F57,$A$3:$A$102,0)),"")&lt;&gt;"完了",IFERROR(INDEX($C$3:$C$102,MATCH($F57,$A$3:$A$102,0)),""),"")),IF($G57="","",IF(IFERROR(INDEX($J$3:$J$102,MATCH($G57,$A$3:$A$102,0)),"")&lt;&gt;"完了",IFERROR(INDEX($C$3:$C$102,MATCH($G57,$A$3:$A$102,0)),""),"")),IF($H57="","",IF(IFERROR(INDEX($J$3:$J$102,MATCH($H57,$A$3:$A$102,0)),"")&lt;&gt;"完了",IFERROR(INDEX($C$3:$C$102,MATCH($H57,$A$3:$A$102,0)),""),""))))</f>
        <v/>
      </c>
      <c r="S57" s="22" t="str">
        <f aca="false">IF($A57="","",IF($J57&lt;&gt;"完了",1,0))</f>
        <v/>
      </c>
    </row>
    <row r="58" customFormat="false" ht="15" hidden="false" customHeight="false" outlineLevel="0" collapsed="false">
      <c r="A58" s="16"/>
      <c r="B58" s="16"/>
      <c r="C58" s="16"/>
      <c r="D58" s="16"/>
      <c r="E58" s="16"/>
      <c r="F58" s="16"/>
      <c r="G58" s="16"/>
      <c r="H58" s="16"/>
      <c r="I58" s="21"/>
      <c r="J58" s="16"/>
      <c r="K58" s="9" t="str">
        <f aca="false">IF($A58="","",IF(AND($F58="",$G58="",$H58=""),設定!$B$2,MAX(IF($F58="",0,IFERROR(WORKDAY(INDEX($L$3:$L$57,MATCH($F58,$A$3:$A$57,0)),1),0)),IF($G58="",0,IFERROR(WORKDAY(INDEX($L$3:$L$57,MATCH($G58,$A$3:$A$57,0)),1),0)),IF($H58="",0,IFERROR(WORKDAY(INDEX($L$3:$L$57,MATCH($H58,$A$3:$A$57,0)),1),0)))))</f>
        <v/>
      </c>
      <c r="L58" s="9" t="str">
        <f aca="false">IF($A58="","",WORKDAY($K58,$I58-1))</f>
        <v/>
      </c>
      <c r="M58" s="9" t="str">
        <f aca="false">IF($A58="","",WORKDAY($N58,-($I58-1)))</f>
        <v/>
      </c>
      <c r="N58" s="9" t="str">
        <f aca="false">IF($A58="","",IF(COUNTIF($F$59:$F$102,$A58)+COUNTIF($G$59:$G$102,$A58)+COUNTIF($H$59:$H$102,$A58)=0,設定!$B$3,MIN(IF(COUNTIF($F$59:$F$102,$A58)=0,999999,IFERROR(WORKDAY(_xlfn.MINIFS($M$59:$M$102,$F$59:$F$102,$A58),-1),999999)),IF(COUNTIF($G$59:$G$102,$A58)=0,999999,IFERROR(WORKDAY(_xlfn.MINIFS($M$59:$M$102,$G$59:$G$102,$A58),-1),999999)),IF(COUNTIF($H$59:$H$102,$A58)=0,999999,IFERROR(WORKDAY(_xlfn.MINIFS($M$59:$M$102,$H$59:$H$102,$A58),-1),999999)))))</f>
        <v/>
      </c>
      <c r="O58" s="22" t="str">
        <f aca="false">IF($A58="","",NETWORKDAYS($K58,$M58)-1)</f>
        <v/>
      </c>
      <c r="P58" s="22" t="str">
        <f aca="false">IF($A58="","",IF($O58&lt;=0,"クリティカル",""))</f>
        <v/>
      </c>
      <c r="Q58" s="22" t="str">
        <f aca="true">IF($A58="","",IF(AND($J58&lt;&gt;"完了",TODAY()&gt;$L58),"遅延",""))</f>
        <v/>
      </c>
      <c r="R58" s="22" t="str">
        <f aca="false">IF($A58="","",_xlfn.TEXTJOIN(", ",TRUE(),IF($F58="","",IF(IFERROR(INDEX($J$3:$J$102,MATCH($F58,$A$3:$A$102,0)),"")&lt;&gt;"完了",IFERROR(INDEX($C$3:$C$102,MATCH($F58,$A$3:$A$102,0)),""),"")),IF($G58="","",IF(IFERROR(INDEX($J$3:$J$102,MATCH($G58,$A$3:$A$102,0)),"")&lt;&gt;"完了",IFERROR(INDEX($C$3:$C$102,MATCH($G58,$A$3:$A$102,0)),""),"")),IF($H58="","",IF(IFERROR(INDEX($J$3:$J$102,MATCH($H58,$A$3:$A$102,0)),"")&lt;&gt;"完了",IFERROR(INDEX($C$3:$C$102,MATCH($H58,$A$3:$A$102,0)),""),""))))</f>
        <v/>
      </c>
      <c r="S58" s="22" t="str">
        <f aca="false">IF($A58="","",IF($J58&lt;&gt;"完了",1,0))</f>
        <v/>
      </c>
    </row>
    <row r="59" customFormat="false" ht="15" hidden="false" customHeight="false" outlineLevel="0" collapsed="false">
      <c r="A59" s="16"/>
      <c r="B59" s="16"/>
      <c r="C59" s="16"/>
      <c r="D59" s="16"/>
      <c r="E59" s="16"/>
      <c r="F59" s="16"/>
      <c r="G59" s="16"/>
      <c r="H59" s="16"/>
      <c r="I59" s="21"/>
      <c r="J59" s="16"/>
      <c r="K59" s="9" t="str">
        <f aca="false">IF($A59="","",IF(AND($F59="",$G59="",$H59=""),設定!$B$2,MAX(IF($F59="",0,IFERROR(WORKDAY(INDEX($L$3:$L$58,MATCH($F59,$A$3:$A$58,0)),1),0)),IF($G59="",0,IFERROR(WORKDAY(INDEX($L$3:$L$58,MATCH($G59,$A$3:$A$58,0)),1),0)),IF($H59="",0,IFERROR(WORKDAY(INDEX($L$3:$L$58,MATCH($H59,$A$3:$A$58,0)),1),0)))))</f>
        <v/>
      </c>
      <c r="L59" s="9" t="str">
        <f aca="false">IF($A59="","",WORKDAY($K59,$I59-1))</f>
        <v/>
      </c>
      <c r="M59" s="9" t="str">
        <f aca="false">IF($A59="","",WORKDAY($N59,-($I59-1)))</f>
        <v/>
      </c>
      <c r="N59" s="9" t="str">
        <f aca="false">IF($A59="","",IF(COUNTIF($F$60:$F$102,$A59)+COUNTIF($G$60:$G$102,$A59)+COUNTIF($H$60:$H$102,$A59)=0,設定!$B$3,MIN(IF(COUNTIF($F$60:$F$102,$A59)=0,999999,IFERROR(WORKDAY(_xlfn.MINIFS($M$60:$M$102,$F$60:$F$102,$A59),-1),999999)),IF(COUNTIF($G$60:$G$102,$A59)=0,999999,IFERROR(WORKDAY(_xlfn.MINIFS($M$60:$M$102,$G$60:$G$102,$A59),-1),999999)),IF(COUNTIF($H$60:$H$102,$A59)=0,999999,IFERROR(WORKDAY(_xlfn.MINIFS($M$60:$M$102,$H$60:$H$102,$A59),-1),999999)))))</f>
        <v/>
      </c>
      <c r="O59" s="22" t="str">
        <f aca="false">IF($A59="","",NETWORKDAYS($K59,$M59)-1)</f>
        <v/>
      </c>
      <c r="P59" s="22" t="str">
        <f aca="false">IF($A59="","",IF($O59&lt;=0,"クリティカル",""))</f>
        <v/>
      </c>
      <c r="Q59" s="22" t="str">
        <f aca="true">IF($A59="","",IF(AND($J59&lt;&gt;"完了",TODAY()&gt;$L59),"遅延",""))</f>
        <v/>
      </c>
      <c r="R59" s="22" t="str">
        <f aca="false">IF($A59="","",_xlfn.TEXTJOIN(", ",TRUE(),IF($F59="","",IF(IFERROR(INDEX($J$3:$J$102,MATCH($F59,$A$3:$A$102,0)),"")&lt;&gt;"完了",IFERROR(INDEX($C$3:$C$102,MATCH($F59,$A$3:$A$102,0)),""),"")),IF($G59="","",IF(IFERROR(INDEX($J$3:$J$102,MATCH($G59,$A$3:$A$102,0)),"")&lt;&gt;"完了",IFERROR(INDEX($C$3:$C$102,MATCH($G59,$A$3:$A$102,0)),""),"")),IF($H59="","",IF(IFERROR(INDEX($J$3:$J$102,MATCH($H59,$A$3:$A$102,0)),"")&lt;&gt;"完了",IFERROR(INDEX($C$3:$C$102,MATCH($H59,$A$3:$A$102,0)),""),""))))</f>
        <v/>
      </c>
      <c r="S59" s="22" t="str">
        <f aca="false">IF($A59="","",IF($J59&lt;&gt;"完了",1,0))</f>
        <v/>
      </c>
    </row>
    <row r="60" customFormat="false" ht="15" hidden="false" customHeight="false" outlineLevel="0" collapsed="false">
      <c r="A60" s="16"/>
      <c r="B60" s="16"/>
      <c r="C60" s="16"/>
      <c r="D60" s="16"/>
      <c r="E60" s="16"/>
      <c r="F60" s="16"/>
      <c r="G60" s="16"/>
      <c r="H60" s="16"/>
      <c r="I60" s="21"/>
      <c r="J60" s="16"/>
      <c r="K60" s="9" t="str">
        <f aca="false">IF($A60="","",IF(AND($F60="",$G60="",$H60=""),設定!$B$2,MAX(IF($F60="",0,IFERROR(WORKDAY(INDEX($L$3:$L$59,MATCH($F60,$A$3:$A$59,0)),1),0)),IF($G60="",0,IFERROR(WORKDAY(INDEX($L$3:$L$59,MATCH($G60,$A$3:$A$59,0)),1),0)),IF($H60="",0,IFERROR(WORKDAY(INDEX($L$3:$L$59,MATCH($H60,$A$3:$A$59,0)),1),0)))))</f>
        <v/>
      </c>
      <c r="L60" s="9" t="str">
        <f aca="false">IF($A60="","",WORKDAY($K60,$I60-1))</f>
        <v/>
      </c>
      <c r="M60" s="9" t="str">
        <f aca="false">IF($A60="","",WORKDAY($N60,-($I60-1)))</f>
        <v/>
      </c>
      <c r="N60" s="9" t="str">
        <f aca="false">IF($A60="","",IF(COUNTIF($F$61:$F$102,$A60)+COUNTIF($G$61:$G$102,$A60)+COUNTIF($H$61:$H$102,$A60)=0,設定!$B$3,MIN(IF(COUNTIF($F$61:$F$102,$A60)=0,999999,IFERROR(WORKDAY(_xlfn.MINIFS($M$61:$M$102,$F$61:$F$102,$A60),-1),999999)),IF(COUNTIF($G$61:$G$102,$A60)=0,999999,IFERROR(WORKDAY(_xlfn.MINIFS($M$61:$M$102,$G$61:$G$102,$A60),-1),999999)),IF(COUNTIF($H$61:$H$102,$A60)=0,999999,IFERROR(WORKDAY(_xlfn.MINIFS($M$61:$M$102,$H$61:$H$102,$A60),-1),999999)))))</f>
        <v/>
      </c>
      <c r="O60" s="22" t="str">
        <f aca="false">IF($A60="","",NETWORKDAYS($K60,$M60)-1)</f>
        <v/>
      </c>
      <c r="P60" s="22" t="str">
        <f aca="false">IF($A60="","",IF($O60&lt;=0,"クリティカル",""))</f>
        <v/>
      </c>
      <c r="Q60" s="22" t="str">
        <f aca="true">IF($A60="","",IF(AND($J60&lt;&gt;"完了",TODAY()&gt;$L60),"遅延",""))</f>
        <v/>
      </c>
      <c r="R60" s="22" t="str">
        <f aca="false">IF($A60="","",_xlfn.TEXTJOIN(", ",TRUE(),IF($F60="","",IF(IFERROR(INDEX($J$3:$J$102,MATCH($F60,$A$3:$A$102,0)),"")&lt;&gt;"完了",IFERROR(INDEX($C$3:$C$102,MATCH($F60,$A$3:$A$102,0)),""),"")),IF($G60="","",IF(IFERROR(INDEX($J$3:$J$102,MATCH($G60,$A$3:$A$102,0)),"")&lt;&gt;"完了",IFERROR(INDEX($C$3:$C$102,MATCH($G60,$A$3:$A$102,0)),""),"")),IF($H60="","",IF(IFERROR(INDEX($J$3:$J$102,MATCH($H60,$A$3:$A$102,0)),"")&lt;&gt;"完了",IFERROR(INDEX($C$3:$C$102,MATCH($H60,$A$3:$A$102,0)),""),""))))</f>
        <v/>
      </c>
      <c r="S60" s="22" t="str">
        <f aca="false">IF($A60="","",IF($J60&lt;&gt;"完了",1,0))</f>
        <v/>
      </c>
    </row>
    <row r="61" customFormat="false" ht="15" hidden="false" customHeight="false" outlineLevel="0" collapsed="false">
      <c r="A61" s="16"/>
      <c r="B61" s="16"/>
      <c r="C61" s="16"/>
      <c r="D61" s="16"/>
      <c r="E61" s="16"/>
      <c r="F61" s="16"/>
      <c r="G61" s="16"/>
      <c r="H61" s="16"/>
      <c r="I61" s="21"/>
      <c r="J61" s="16"/>
      <c r="K61" s="9" t="str">
        <f aca="false">IF($A61="","",IF(AND($F61="",$G61="",$H61=""),設定!$B$2,MAX(IF($F61="",0,IFERROR(WORKDAY(INDEX($L$3:$L$60,MATCH($F61,$A$3:$A$60,0)),1),0)),IF($G61="",0,IFERROR(WORKDAY(INDEX($L$3:$L$60,MATCH($G61,$A$3:$A$60,0)),1),0)),IF($H61="",0,IFERROR(WORKDAY(INDEX($L$3:$L$60,MATCH($H61,$A$3:$A$60,0)),1),0)))))</f>
        <v/>
      </c>
      <c r="L61" s="9" t="str">
        <f aca="false">IF($A61="","",WORKDAY($K61,$I61-1))</f>
        <v/>
      </c>
      <c r="M61" s="9" t="str">
        <f aca="false">IF($A61="","",WORKDAY($N61,-($I61-1)))</f>
        <v/>
      </c>
      <c r="N61" s="9" t="str">
        <f aca="false">IF($A61="","",IF(COUNTIF($F$62:$F$102,$A61)+COUNTIF($G$62:$G$102,$A61)+COUNTIF($H$62:$H$102,$A61)=0,設定!$B$3,MIN(IF(COUNTIF($F$62:$F$102,$A61)=0,999999,IFERROR(WORKDAY(_xlfn.MINIFS($M$62:$M$102,$F$62:$F$102,$A61),-1),999999)),IF(COUNTIF($G$62:$G$102,$A61)=0,999999,IFERROR(WORKDAY(_xlfn.MINIFS($M$62:$M$102,$G$62:$G$102,$A61),-1),999999)),IF(COUNTIF($H$62:$H$102,$A61)=0,999999,IFERROR(WORKDAY(_xlfn.MINIFS($M$62:$M$102,$H$62:$H$102,$A61),-1),999999)))))</f>
        <v/>
      </c>
      <c r="O61" s="22" t="str">
        <f aca="false">IF($A61="","",NETWORKDAYS($K61,$M61)-1)</f>
        <v/>
      </c>
      <c r="P61" s="22" t="str">
        <f aca="false">IF($A61="","",IF($O61&lt;=0,"クリティカル",""))</f>
        <v/>
      </c>
      <c r="Q61" s="22" t="str">
        <f aca="true">IF($A61="","",IF(AND($J61&lt;&gt;"完了",TODAY()&gt;$L61),"遅延",""))</f>
        <v/>
      </c>
      <c r="R61" s="22" t="str">
        <f aca="false">IF($A61="","",_xlfn.TEXTJOIN(", ",TRUE(),IF($F61="","",IF(IFERROR(INDEX($J$3:$J$102,MATCH($F61,$A$3:$A$102,0)),"")&lt;&gt;"完了",IFERROR(INDEX($C$3:$C$102,MATCH($F61,$A$3:$A$102,0)),""),"")),IF($G61="","",IF(IFERROR(INDEX($J$3:$J$102,MATCH($G61,$A$3:$A$102,0)),"")&lt;&gt;"完了",IFERROR(INDEX($C$3:$C$102,MATCH($G61,$A$3:$A$102,0)),""),"")),IF($H61="","",IF(IFERROR(INDEX($J$3:$J$102,MATCH($H61,$A$3:$A$102,0)),"")&lt;&gt;"完了",IFERROR(INDEX($C$3:$C$102,MATCH($H61,$A$3:$A$102,0)),""),""))))</f>
        <v/>
      </c>
      <c r="S61" s="22" t="str">
        <f aca="false">IF($A61="","",IF($J61&lt;&gt;"完了",1,0))</f>
        <v/>
      </c>
    </row>
    <row r="62" customFormat="false" ht="15" hidden="false" customHeight="false" outlineLevel="0" collapsed="false">
      <c r="A62" s="16"/>
      <c r="B62" s="16"/>
      <c r="C62" s="16"/>
      <c r="D62" s="16"/>
      <c r="E62" s="16"/>
      <c r="F62" s="16"/>
      <c r="G62" s="16"/>
      <c r="H62" s="16"/>
      <c r="I62" s="21"/>
      <c r="J62" s="16"/>
      <c r="K62" s="9" t="str">
        <f aca="false">IF($A62="","",IF(AND($F62="",$G62="",$H62=""),設定!$B$2,MAX(IF($F62="",0,IFERROR(WORKDAY(INDEX($L$3:$L$61,MATCH($F62,$A$3:$A$61,0)),1),0)),IF($G62="",0,IFERROR(WORKDAY(INDEX($L$3:$L$61,MATCH($G62,$A$3:$A$61,0)),1),0)),IF($H62="",0,IFERROR(WORKDAY(INDEX($L$3:$L$61,MATCH($H62,$A$3:$A$61,0)),1),0)))))</f>
        <v/>
      </c>
      <c r="L62" s="9" t="str">
        <f aca="false">IF($A62="","",WORKDAY($K62,$I62-1))</f>
        <v/>
      </c>
      <c r="M62" s="9" t="str">
        <f aca="false">IF($A62="","",WORKDAY($N62,-($I62-1)))</f>
        <v/>
      </c>
      <c r="N62" s="9" t="str">
        <f aca="false">IF($A62="","",IF(COUNTIF($F$63:$F$102,$A62)+COUNTIF($G$63:$G$102,$A62)+COUNTIF($H$63:$H$102,$A62)=0,設定!$B$3,MIN(IF(COUNTIF($F$63:$F$102,$A62)=0,999999,IFERROR(WORKDAY(_xlfn.MINIFS($M$63:$M$102,$F$63:$F$102,$A62),-1),999999)),IF(COUNTIF($G$63:$G$102,$A62)=0,999999,IFERROR(WORKDAY(_xlfn.MINIFS($M$63:$M$102,$G$63:$G$102,$A62),-1),999999)),IF(COUNTIF($H$63:$H$102,$A62)=0,999999,IFERROR(WORKDAY(_xlfn.MINIFS($M$63:$M$102,$H$63:$H$102,$A62),-1),999999)))))</f>
        <v/>
      </c>
      <c r="O62" s="22" t="str">
        <f aca="false">IF($A62="","",NETWORKDAYS($K62,$M62)-1)</f>
        <v/>
      </c>
      <c r="P62" s="22" t="str">
        <f aca="false">IF($A62="","",IF($O62&lt;=0,"クリティカル",""))</f>
        <v/>
      </c>
      <c r="Q62" s="22" t="str">
        <f aca="true">IF($A62="","",IF(AND($J62&lt;&gt;"完了",TODAY()&gt;$L62),"遅延",""))</f>
        <v/>
      </c>
      <c r="R62" s="22" t="str">
        <f aca="false">IF($A62="","",_xlfn.TEXTJOIN(", ",TRUE(),IF($F62="","",IF(IFERROR(INDEX($J$3:$J$102,MATCH($F62,$A$3:$A$102,0)),"")&lt;&gt;"完了",IFERROR(INDEX($C$3:$C$102,MATCH($F62,$A$3:$A$102,0)),""),"")),IF($G62="","",IF(IFERROR(INDEX($J$3:$J$102,MATCH($G62,$A$3:$A$102,0)),"")&lt;&gt;"完了",IFERROR(INDEX($C$3:$C$102,MATCH($G62,$A$3:$A$102,0)),""),"")),IF($H62="","",IF(IFERROR(INDEX($J$3:$J$102,MATCH($H62,$A$3:$A$102,0)),"")&lt;&gt;"完了",IFERROR(INDEX($C$3:$C$102,MATCH($H62,$A$3:$A$102,0)),""),""))))</f>
        <v/>
      </c>
      <c r="S62" s="22" t="str">
        <f aca="false">IF($A62="","",IF($J62&lt;&gt;"完了",1,0))</f>
        <v/>
      </c>
    </row>
    <row r="63" customFormat="false" ht="15" hidden="false" customHeight="false" outlineLevel="0" collapsed="false">
      <c r="A63" s="16"/>
      <c r="B63" s="16"/>
      <c r="C63" s="16"/>
      <c r="D63" s="16"/>
      <c r="E63" s="16"/>
      <c r="F63" s="16"/>
      <c r="G63" s="16"/>
      <c r="H63" s="16"/>
      <c r="I63" s="21"/>
      <c r="J63" s="16"/>
      <c r="K63" s="9" t="str">
        <f aca="false">IF($A63="","",IF(AND($F63="",$G63="",$H63=""),設定!$B$2,MAX(IF($F63="",0,IFERROR(WORKDAY(INDEX($L$3:$L$62,MATCH($F63,$A$3:$A$62,0)),1),0)),IF($G63="",0,IFERROR(WORKDAY(INDEX($L$3:$L$62,MATCH($G63,$A$3:$A$62,0)),1),0)),IF($H63="",0,IFERROR(WORKDAY(INDEX($L$3:$L$62,MATCH($H63,$A$3:$A$62,0)),1),0)))))</f>
        <v/>
      </c>
      <c r="L63" s="9" t="str">
        <f aca="false">IF($A63="","",WORKDAY($K63,$I63-1))</f>
        <v/>
      </c>
      <c r="M63" s="9" t="str">
        <f aca="false">IF($A63="","",WORKDAY($N63,-($I63-1)))</f>
        <v/>
      </c>
      <c r="N63" s="9" t="str">
        <f aca="false">IF($A63="","",IF(COUNTIF($F$64:$F$102,$A63)+COUNTIF($G$64:$G$102,$A63)+COUNTIF($H$64:$H$102,$A63)=0,設定!$B$3,MIN(IF(COUNTIF($F$64:$F$102,$A63)=0,999999,IFERROR(WORKDAY(_xlfn.MINIFS($M$64:$M$102,$F$64:$F$102,$A63),-1),999999)),IF(COUNTIF($G$64:$G$102,$A63)=0,999999,IFERROR(WORKDAY(_xlfn.MINIFS($M$64:$M$102,$G$64:$G$102,$A63),-1),999999)),IF(COUNTIF($H$64:$H$102,$A63)=0,999999,IFERROR(WORKDAY(_xlfn.MINIFS($M$64:$M$102,$H$64:$H$102,$A63),-1),999999)))))</f>
        <v/>
      </c>
      <c r="O63" s="22" t="str">
        <f aca="false">IF($A63="","",NETWORKDAYS($K63,$M63)-1)</f>
        <v/>
      </c>
      <c r="P63" s="22" t="str">
        <f aca="false">IF($A63="","",IF($O63&lt;=0,"クリティカル",""))</f>
        <v/>
      </c>
      <c r="Q63" s="22" t="str">
        <f aca="true">IF($A63="","",IF(AND($J63&lt;&gt;"完了",TODAY()&gt;$L63),"遅延",""))</f>
        <v/>
      </c>
      <c r="R63" s="22" t="str">
        <f aca="false">IF($A63="","",_xlfn.TEXTJOIN(", ",TRUE(),IF($F63="","",IF(IFERROR(INDEX($J$3:$J$102,MATCH($F63,$A$3:$A$102,0)),"")&lt;&gt;"完了",IFERROR(INDEX($C$3:$C$102,MATCH($F63,$A$3:$A$102,0)),""),"")),IF($G63="","",IF(IFERROR(INDEX($J$3:$J$102,MATCH($G63,$A$3:$A$102,0)),"")&lt;&gt;"完了",IFERROR(INDEX($C$3:$C$102,MATCH($G63,$A$3:$A$102,0)),""),"")),IF($H63="","",IF(IFERROR(INDEX($J$3:$J$102,MATCH($H63,$A$3:$A$102,0)),"")&lt;&gt;"完了",IFERROR(INDEX($C$3:$C$102,MATCH($H63,$A$3:$A$102,0)),""),""))))</f>
        <v/>
      </c>
      <c r="S63" s="22" t="str">
        <f aca="false">IF($A63="","",IF($J63&lt;&gt;"完了",1,0))</f>
        <v/>
      </c>
    </row>
    <row r="64" customFormat="false" ht="15" hidden="false" customHeight="false" outlineLevel="0" collapsed="false">
      <c r="A64" s="16"/>
      <c r="B64" s="16"/>
      <c r="C64" s="16"/>
      <c r="D64" s="16"/>
      <c r="E64" s="16"/>
      <c r="F64" s="16"/>
      <c r="G64" s="16"/>
      <c r="H64" s="16"/>
      <c r="I64" s="21"/>
      <c r="J64" s="16"/>
      <c r="K64" s="9" t="str">
        <f aca="false">IF($A64="","",IF(AND($F64="",$G64="",$H64=""),設定!$B$2,MAX(IF($F64="",0,IFERROR(WORKDAY(INDEX($L$3:$L$63,MATCH($F64,$A$3:$A$63,0)),1),0)),IF($G64="",0,IFERROR(WORKDAY(INDEX($L$3:$L$63,MATCH($G64,$A$3:$A$63,0)),1),0)),IF($H64="",0,IFERROR(WORKDAY(INDEX($L$3:$L$63,MATCH($H64,$A$3:$A$63,0)),1),0)))))</f>
        <v/>
      </c>
      <c r="L64" s="9" t="str">
        <f aca="false">IF($A64="","",WORKDAY($K64,$I64-1))</f>
        <v/>
      </c>
      <c r="M64" s="9" t="str">
        <f aca="false">IF($A64="","",WORKDAY($N64,-($I64-1)))</f>
        <v/>
      </c>
      <c r="N64" s="9" t="str">
        <f aca="false">IF($A64="","",IF(COUNTIF($F$65:$F$102,$A64)+COUNTIF($G$65:$G$102,$A64)+COUNTIF($H$65:$H$102,$A64)=0,設定!$B$3,MIN(IF(COUNTIF($F$65:$F$102,$A64)=0,999999,IFERROR(WORKDAY(_xlfn.MINIFS($M$65:$M$102,$F$65:$F$102,$A64),-1),999999)),IF(COUNTIF($G$65:$G$102,$A64)=0,999999,IFERROR(WORKDAY(_xlfn.MINIFS($M$65:$M$102,$G$65:$G$102,$A64),-1),999999)),IF(COUNTIF($H$65:$H$102,$A64)=0,999999,IFERROR(WORKDAY(_xlfn.MINIFS($M$65:$M$102,$H$65:$H$102,$A64),-1),999999)))))</f>
        <v/>
      </c>
      <c r="O64" s="22" t="str">
        <f aca="false">IF($A64="","",NETWORKDAYS($K64,$M64)-1)</f>
        <v/>
      </c>
      <c r="P64" s="22" t="str">
        <f aca="false">IF($A64="","",IF($O64&lt;=0,"クリティカル",""))</f>
        <v/>
      </c>
      <c r="Q64" s="22" t="str">
        <f aca="true">IF($A64="","",IF(AND($J64&lt;&gt;"完了",TODAY()&gt;$L64),"遅延",""))</f>
        <v/>
      </c>
      <c r="R64" s="22" t="str">
        <f aca="false">IF($A64="","",_xlfn.TEXTJOIN(", ",TRUE(),IF($F64="","",IF(IFERROR(INDEX($J$3:$J$102,MATCH($F64,$A$3:$A$102,0)),"")&lt;&gt;"完了",IFERROR(INDEX($C$3:$C$102,MATCH($F64,$A$3:$A$102,0)),""),"")),IF($G64="","",IF(IFERROR(INDEX($J$3:$J$102,MATCH($G64,$A$3:$A$102,0)),"")&lt;&gt;"完了",IFERROR(INDEX($C$3:$C$102,MATCH($G64,$A$3:$A$102,0)),""),"")),IF($H64="","",IF(IFERROR(INDEX($J$3:$J$102,MATCH($H64,$A$3:$A$102,0)),"")&lt;&gt;"完了",IFERROR(INDEX($C$3:$C$102,MATCH($H64,$A$3:$A$102,0)),""),""))))</f>
        <v/>
      </c>
      <c r="S64" s="22" t="str">
        <f aca="false">IF($A64="","",IF($J64&lt;&gt;"完了",1,0))</f>
        <v/>
      </c>
    </row>
    <row r="65" customFormat="false" ht="15" hidden="false" customHeight="false" outlineLevel="0" collapsed="false">
      <c r="A65" s="16"/>
      <c r="B65" s="16"/>
      <c r="C65" s="16"/>
      <c r="D65" s="16"/>
      <c r="E65" s="16"/>
      <c r="F65" s="16"/>
      <c r="G65" s="16"/>
      <c r="H65" s="16"/>
      <c r="I65" s="21"/>
      <c r="J65" s="16"/>
      <c r="K65" s="9" t="str">
        <f aca="false">IF($A65="","",IF(AND($F65="",$G65="",$H65=""),設定!$B$2,MAX(IF($F65="",0,IFERROR(WORKDAY(INDEX($L$3:$L$64,MATCH($F65,$A$3:$A$64,0)),1),0)),IF($G65="",0,IFERROR(WORKDAY(INDEX($L$3:$L$64,MATCH($G65,$A$3:$A$64,0)),1),0)),IF($H65="",0,IFERROR(WORKDAY(INDEX($L$3:$L$64,MATCH($H65,$A$3:$A$64,0)),1),0)))))</f>
        <v/>
      </c>
      <c r="L65" s="9" t="str">
        <f aca="false">IF($A65="","",WORKDAY($K65,$I65-1))</f>
        <v/>
      </c>
      <c r="M65" s="9" t="str">
        <f aca="false">IF($A65="","",WORKDAY($N65,-($I65-1)))</f>
        <v/>
      </c>
      <c r="N65" s="9" t="str">
        <f aca="false">IF($A65="","",IF(COUNTIF($F$66:$F$102,$A65)+COUNTIF($G$66:$G$102,$A65)+COUNTIF($H$66:$H$102,$A65)=0,設定!$B$3,MIN(IF(COUNTIF($F$66:$F$102,$A65)=0,999999,IFERROR(WORKDAY(_xlfn.MINIFS($M$66:$M$102,$F$66:$F$102,$A65),-1),999999)),IF(COUNTIF($G$66:$G$102,$A65)=0,999999,IFERROR(WORKDAY(_xlfn.MINIFS($M$66:$M$102,$G$66:$G$102,$A65),-1),999999)),IF(COUNTIF($H$66:$H$102,$A65)=0,999999,IFERROR(WORKDAY(_xlfn.MINIFS($M$66:$M$102,$H$66:$H$102,$A65),-1),999999)))))</f>
        <v/>
      </c>
      <c r="O65" s="22" t="str">
        <f aca="false">IF($A65="","",NETWORKDAYS($K65,$M65)-1)</f>
        <v/>
      </c>
      <c r="P65" s="22" t="str">
        <f aca="false">IF($A65="","",IF($O65&lt;=0,"クリティカル",""))</f>
        <v/>
      </c>
      <c r="Q65" s="22" t="str">
        <f aca="true">IF($A65="","",IF(AND($J65&lt;&gt;"完了",TODAY()&gt;$L65),"遅延",""))</f>
        <v/>
      </c>
      <c r="R65" s="22" t="str">
        <f aca="false">IF($A65="","",_xlfn.TEXTJOIN(", ",TRUE(),IF($F65="","",IF(IFERROR(INDEX($J$3:$J$102,MATCH($F65,$A$3:$A$102,0)),"")&lt;&gt;"完了",IFERROR(INDEX($C$3:$C$102,MATCH($F65,$A$3:$A$102,0)),""),"")),IF($G65="","",IF(IFERROR(INDEX($J$3:$J$102,MATCH($G65,$A$3:$A$102,0)),"")&lt;&gt;"完了",IFERROR(INDEX($C$3:$C$102,MATCH($G65,$A$3:$A$102,0)),""),"")),IF($H65="","",IF(IFERROR(INDEX($J$3:$J$102,MATCH($H65,$A$3:$A$102,0)),"")&lt;&gt;"完了",IFERROR(INDEX($C$3:$C$102,MATCH($H65,$A$3:$A$102,0)),""),""))))</f>
        <v/>
      </c>
      <c r="S65" s="22" t="str">
        <f aca="false">IF($A65="","",IF($J65&lt;&gt;"完了",1,0))</f>
        <v/>
      </c>
    </row>
    <row r="66" customFormat="false" ht="15" hidden="false" customHeight="false" outlineLevel="0" collapsed="false">
      <c r="A66" s="16"/>
      <c r="B66" s="16"/>
      <c r="C66" s="16"/>
      <c r="D66" s="16"/>
      <c r="E66" s="16"/>
      <c r="F66" s="16"/>
      <c r="G66" s="16"/>
      <c r="H66" s="16"/>
      <c r="I66" s="21"/>
      <c r="J66" s="16"/>
      <c r="K66" s="9" t="str">
        <f aca="false">IF($A66="","",IF(AND($F66="",$G66="",$H66=""),設定!$B$2,MAX(IF($F66="",0,IFERROR(WORKDAY(INDEX($L$3:$L$65,MATCH($F66,$A$3:$A$65,0)),1),0)),IF($G66="",0,IFERROR(WORKDAY(INDEX($L$3:$L$65,MATCH($G66,$A$3:$A$65,0)),1),0)),IF($H66="",0,IFERROR(WORKDAY(INDEX($L$3:$L$65,MATCH($H66,$A$3:$A$65,0)),1),0)))))</f>
        <v/>
      </c>
      <c r="L66" s="9" t="str">
        <f aca="false">IF($A66="","",WORKDAY($K66,$I66-1))</f>
        <v/>
      </c>
      <c r="M66" s="9" t="str">
        <f aca="false">IF($A66="","",WORKDAY($N66,-($I66-1)))</f>
        <v/>
      </c>
      <c r="N66" s="9" t="str">
        <f aca="false">IF($A66="","",IF(COUNTIF($F$67:$F$102,$A66)+COUNTIF($G$67:$G$102,$A66)+COUNTIF($H$67:$H$102,$A66)=0,設定!$B$3,MIN(IF(COUNTIF($F$67:$F$102,$A66)=0,999999,IFERROR(WORKDAY(_xlfn.MINIFS($M$67:$M$102,$F$67:$F$102,$A66),-1),999999)),IF(COUNTIF($G$67:$G$102,$A66)=0,999999,IFERROR(WORKDAY(_xlfn.MINIFS($M$67:$M$102,$G$67:$G$102,$A66),-1),999999)),IF(COUNTIF($H$67:$H$102,$A66)=0,999999,IFERROR(WORKDAY(_xlfn.MINIFS($M$67:$M$102,$H$67:$H$102,$A66),-1),999999)))))</f>
        <v/>
      </c>
      <c r="O66" s="22" t="str">
        <f aca="false">IF($A66="","",NETWORKDAYS($K66,$M66)-1)</f>
        <v/>
      </c>
      <c r="P66" s="22" t="str">
        <f aca="false">IF($A66="","",IF($O66&lt;=0,"クリティカル",""))</f>
        <v/>
      </c>
      <c r="Q66" s="22" t="str">
        <f aca="true">IF($A66="","",IF(AND($J66&lt;&gt;"完了",TODAY()&gt;$L66),"遅延",""))</f>
        <v/>
      </c>
      <c r="R66" s="22" t="str">
        <f aca="false">IF($A66="","",_xlfn.TEXTJOIN(", ",TRUE(),IF($F66="","",IF(IFERROR(INDEX($J$3:$J$102,MATCH($F66,$A$3:$A$102,0)),"")&lt;&gt;"完了",IFERROR(INDEX($C$3:$C$102,MATCH($F66,$A$3:$A$102,0)),""),"")),IF($G66="","",IF(IFERROR(INDEX($J$3:$J$102,MATCH($G66,$A$3:$A$102,0)),"")&lt;&gt;"完了",IFERROR(INDEX($C$3:$C$102,MATCH($G66,$A$3:$A$102,0)),""),"")),IF($H66="","",IF(IFERROR(INDEX($J$3:$J$102,MATCH($H66,$A$3:$A$102,0)),"")&lt;&gt;"完了",IFERROR(INDEX($C$3:$C$102,MATCH($H66,$A$3:$A$102,0)),""),""))))</f>
        <v/>
      </c>
      <c r="S66" s="22" t="str">
        <f aca="false">IF($A66="","",IF($J66&lt;&gt;"完了",1,0))</f>
        <v/>
      </c>
    </row>
    <row r="67" customFormat="false" ht="15" hidden="false" customHeight="false" outlineLevel="0" collapsed="false">
      <c r="A67" s="16"/>
      <c r="B67" s="16"/>
      <c r="C67" s="16"/>
      <c r="D67" s="16"/>
      <c r="E67" s="16"/>
      <c r="F67" s="16"/>
      <c r="G67" s="16"/>
      <c r="H67" s="16"/>
      <c r="I67" s="21"/>
      <c r="J67" s="16"/>
      <c r="K67" s="9" t="str">
        <f aca="false">IF($A67="","",IF(AND($F67="",$G67="",$H67=""),設定!$B$2,MAX(IF($F67="",0,IFERROR(WORKDAY(INDEX($L$3:$L$66,MATCH($F67,$A$3:$A$66,0)),1),0)),IF($G67="",0,IFERROR(WORKDAY(INDEX($L$3:$L$66,MATCH($G67,$A$3:$A$66,0)),1),0)),IF($H67="",0,IFERROR(WORKDAY(INDEX($L$3:$L$66,MATCH($H67,$A$3:$A$66,0)),1),0)))))</f>
        <v/>
      </c>
      <c r="L67" s="9" t="str">
        <f aca="false">IF($A67="","",WORKDAY($K67,$I67-1))</f>
        <v/>
      </c>
      <c r="M67" s="9" t="str">
        <f aca="false">IF($A67="","",WORKDAY($N67,-($I67-1)))</f>
        <v/>
      </c>
      <c r="N67" s="9" t="str">
        <f aca="false">IF($A67="","",IF(COUNTIF($F$68:$F$102,$A67)+COUNTIF($G$68:$G$102,$A67)+COUNTIF($H$68:$H$102,$A67)=0,設定!$B$3,MIN(IF(COUNTIF($F$68:$F$102,$A67)=0,999999,IFERROR(WORKDAY(_xlfn.MINIFS($M$68:$M$102,$F$68:$F$102,$A67),-1),999999)),IF(COUNTIF($G$68:$G$102,$A67)=0,999999,IFERROR(WORKDAY(_xlfn.MINIFS($M$68:$M$102,$G$68:$G$102,$A67),-1),999999)),IF(COUNTIF($H$68:$H$102,$A67)=0,999999,IFERROR(WORKDAY(_xlfn.MINIFS($M$68:$M$102,$H$68:$H$102,$A67),-1),999999)))))</f>
        <v/>
      </c>
      <c r="O67" s="22" t="str">
        <f aca="false">IF($A67="","",NETWORKDAYS($K67,$M67)-1)</f>
        <v/>
      </c>
      <c r="P67" s="22" t="str">
        <f aca="false">IF($A67="","",IF($O67&lt;=0,"クリティカル",""))</f>
        <v/>
      </c>
      <c r="Q67" s="22" t="str">
        <f aca="true">IF($A67="","",IF(AND($J67&lt;&gt;"完了",TODAY()&gt;$L67),"遅延",""))</f>
        <v/>
      </c>
      <c r="R67" s="22" t="str">
        <f aca="false">IF($A67="","",_xlfn.TEXTJOIN(", ",TRUE(),IF($F67="","",IF(IFERROR(INDEX($J$3:$J$102,MATCH($F67,$A$3:$A$102,0)),"")&lt;&gt;"完了",IFERROR(INDEX($C$3:$C$102,MATCH($F67,$A$3:$A$102,0)),""),"")),IF($G67="","",IF(IFERROR(INDEX($J$3:$J$102,MATCH($G67,$A$3:$A$102,0)),"")&lt;&gt;"完了",IFERROR(INDEX($C$3:$C$102,MATCH($G67,$A$3:$A$102,0)),""),"")),IF($H67="","",IF(IFERROR(INDEX($J$3:$J$102,MATCH($H67,$A$3:$A$102,0)),"")&lt;&gt;"完了",IFERROR(INDEX($C$3:$C$102,MATCH($H67,$A$3:$A$102,0)),""),""))))</f>
        <v/>
      </c>
      <c r="S67" s="22" t="str">
        <f aca="false">IF($A67="","",IF($J67&lt;&gt;"完了",1,0))</f>
        <v/>
      </c>
    </row>
    <row r="68" customFormat="false" ht="15" hidden="false" customHeight="false" outlineLevel="0" collapsed="false">
      <c r="A68" s="16"/>
      <c r="B68" s="16"/>
      <c r="C68" s="16"/>
      <c r="D68" s="16"/>
      <c r="E68" s="16"/>
      <c r="F68" s="16"/>
      <c r="G68" s="16"/>
      <c r="H68" s="16"/>
      <c r="I68" s="21"/>
      <c r="J68" s="16"/>
      <c r="K68" s="9" t="str">
        <f aca="false">IF($A68="","",IF(AND($F68="",$G68="",$H68=""),設定!$B$2,MAX(IF($F68="",0,IFERROR(WORKDAY(INDEX($L$3:$L$67,MATCH($F68,$A$3:$A$67,0)),1),0)),IF($G68="",0,IFERROR(WORKDAY(INDEX($L$3:$L$67,MATCH($G68,$A$3:$A$67,0)),1),0)),IF($H68="",0,IFERROR(WORKDAY(INDEX($L$3:$L$67,MATCH($H68,$A$3:$A$67,0)),1),0)))))</f>
        <v/>
      </c>
      <c r="L68" s="9" t="str">
        <f aca="false">IF($A68="","",WORKDAY($K68,$I68-1))</f>
        <v/>
      </c>
      <c r="M68" s="9" t="str">
        <f aca="false">IF($A68="","",WORKDAY($N68,-($I68-1)))</f>
        <v/>
      </c>
      <c r="N68" s="9" t="str">
        <f aca="false">IF($A68="","",IF(COUNTIF($F$69:$F$102,$A68)+COUNTIF($G$69:$G$102,$A68)+COUNTIF($H$69:$H$102,$A68)=0,設定!$B$3,MIN(IF(COUNTIF($F$69:$F$102,$A68)=0,999999,IFERROR(WORKDAY(_xlfn.MINIFS($M$69:$M$102,$F$69:$F$102,$A68),-1),999999)),IF(COUNTIF($G$69:$G$102,$A68)=0,999999,IFERROR(WORKDAY(_xlfn.MINIFS($M$69:$M$102,$G$69:$G$102,$A68),-1),999999)),IF(COUNTIF($H$69:$H$102,$A68)=0,999999,IFERROR(WORKDAY(_xlfn.MINIFS($M$69:$M$102,$H$69:$H$102,$A68),-1),999999)))))</f>
        <v/>
      </c>
      <c r="O68" s="22" t="str">
        <f aca="false">IF($A68="","",NETWORKDAYS($K68,$M68)-1)</f>
        <v/>
      </c>
      <c r="P68" s="22" t="str">
        <f aca="false">IF($A68="","",IF($O68&lt;=0,"クリティカル",""))</f>
        <v/>
      </c>
      <c r="Q68" s="22" t="str">
        <f aca="true">IF($A68="","",IF(AND($J68&lt;&gt;"完了",TODAY()&gt;$L68),"遅延",""))</f>
        <v/>
      </c>
      <c r="R68" s="22" t="str">
        <f aca="false">IF($A68="","",_xlfn.TEXTJOIN(", ",TRUE(),IF($F68="","",IF(IFERROR(INDEX($J$3:$J$102,MATCH($F68,$A$3:$A$102,0)),"")&lt;&gt;"完了",IFERROR(INDEX($C$3:$C$102,MATCH($F68,$A$3:$A$102,0)),""),"")),IF($G68="","",IF(IFERROR(INDEX($J$3:$J$102,MATCH($G68,$A$3:$A$102,0)),"")&lt;&gt;"完了",IFERROR(INDEX($C$3:$C$102,MATCH($G68,$A$3:$A$102,0)),""),"")),IF($H68="","",IF(IFERROR(INDEX($J$3:$J$102,MATCH($H68,$A$3:$A$102,0)),"")&lt;&gt;"完了",IFERROR(INDEX($C$3:$C$102,MATCH($H68,$A$3:$A$102,0)),""),""))))</f>
        <v/>
      </c>
      <c r="S68" s="22" t="str">
        <f aca="false">IF($A68="","",IF($J68&lt;&gt;"完了",1,0))</f>
        <v/>
      </c>
    </row>
    <row r="69" customFormat="false" ht="15" hidden="false" customHeight="false" outlineLevel="0" collapsed="false">
      <c r="A69" s="16"/>
      <c r="B69" s="16"/>
      <c r="C69" s="16"/>
      <c r="D69" s="16"/>
      <c r="E69" s="16"/>
      <c r="F69" s="16"/>
      <c r="G69" s="16"/>
      <c r="H69" s="16"/>
      <c r="I69" s="21"/>
      <c r="J69" s="16"/>
      <c r="K69" s="9" t="str">
        <f aca="false">IF($A69="","",IF(AND($F69="",$G69="",$H69=""),設定!$B$2,MAX(IF($F69="",0,IFERROR(WORKDAY(INDEX($L$3:$L$68,MATCH($F69,$A$3:$A$68,0)),1),0)),IF($G69="",0,IFERROR(WORKDAY(INDEX($L$3:$L$68,MATCH($G69,$A$3:$A$68,0)),1),0)),IF($H69="",0,IFERROR(WORKDAY(INDEX($L$3:$L$68,MATCH($H69,$A$3:$A$68,0)),1),0)))))</f>
        <v/>
      </c>
      <c r="L69" s="9" t="str">
        <f aca="false">IF($A69="","",WORKDAY($K69,$I69-1))</f>
        <v/>
      </c>
      <c r="M69" s="9" t="str">
        <f aca="false">IF($A69="","",WORKDAY($N69,-($I69-1)))</f>
        <v/>
      </c>
      <c r="N69" s="9" t="str">
        <f aca="false">IF($A69="","",IF(COUNTIF($F$70:$F$102,$A69)+COUNTIF($G$70:$G$102,$A69)+COUNTIF($H$70:$H$102,$A69)=0,設定!$B$3,MIN(IF(COUNTIF($F$70:$F$102,$A69)=0,999999,IFERROR(WORKDAY(_xlfn.MINIFS($M$70:$M$102,$F$70:$F$102,$A69),-1),999999)),IF(COUNTIF($G$70:$G$102,$A69)=0,999999,IFERROR(WORKDAY(_xlfn.MINIFS($M$70:$M$102,$G$70:$G$102,$A69),-1),999999)),IF(COUNTIF($H$70:$H$102,$A69)=0,999999,IFERROR(WORKDAY(_xlfn.MINIFS($M$70:$M$102,$H$70:$H$102,$A69),-1),999999)))))</f>
        <v/>
      </c>
      <c r="O69" s="22" t="str">
        <f aca="false">IF($A69="","",NETWORKDAYS($K69,$M69)-1)</f>
        <v/>
      </c>
      <c r="P69" s="22" t="str">
        <f aca="false">IF($A69="","",IF($O69&lt;=0,"クリティカル",""))</f>
        <v/>
      </c>
      <c r="Q69" s="22" t="str">
        <f aca="true">IF($A69="","",IF(AND($J69&lt;&gt;"完了",TODAY()&gt;$L69),"遅延",""))</f>
        <v/>
      </c>
      <c r="R69" s="22" t="str">
        <f aca="false">IF($A69="","",_xlfn.TEXTJOIN(", ",TRUE(),IF($F69="","",IF(IFERROR(INDEX($J$3:$J$102,MATCH($F69,$A$3:$A$102,0)),"")&lt;&gt;"完了",IFERROR(INDEX($C$3:$C$102,MATCH($F69,$A$3:$A$102,0)),""),"")),IF($G69="","",IF(IFERROR(INDEX($J$3:$J$102,MATCH($G69,$A$3:$A$102,0)),"")&lt;&gt;"完了",IFERROR(INDEX($C$3:$C$102,MATCH($G69,$A$3:$A$102,0)),""),"")),IF($H69="","",IF(IFERROR(INDEX($J$3:$J$102,MATCH($H69,$A$3:$A$102,0)),"")&lt;&gt;"完了",IFERROR(INDEX($C$3:$C$102,MATCH($H69,$A$3:$A$102,0)),""),""))))</f>
        <v/>
      </c>
      <c r="S69" s="22" t="str">
        <f aca="false">IF($A69="","",IF($J69&lt;&gt;"完了",1,0))</f>
        <v/>
      </c>
    </row>
    <row r="70" customFormat="false" ht="15" hidden="false" customHeight="false" outlineLevel="0" collapsed="false">
      <c r="A70" s="16"/>
      <c r="B70" s="16"/>
      <c r="C70" s="16"/>
      <c r="D70" s="16"/>
      <c r="E70" s="16"/>
      <c r="F70" s="16"/>
      <c r="G70" s="16"/>
      <c r="H70" s="16"/>
      <c r="I70" s="21"/>
      <c r="J70" s="16"/>
      <c r="K70" s="9" t="str">
        <f aca="false">IF($A70="","",IF(AND($F70="",$G70="",$H70=""),設定!$B$2,MAX(IF($F70="",0,IFERROR(WORKDAY(INDEX($L$3:$L$69,MATCH($F70,$A$3:$A$69,0)),1),0)),IF($G70="",0,IFERROR(WORKDAY(INDEX($L$3:$L$69,MATCH($G70,$A$3:$A$69,0)),1),0)),IF($H70="",0,IFERROR(WORKDAY(INDEX($L$3:$L$69,MATCH($H70,$A$3:$A$69,0)),1),0)))))</f>
        <v/>
      </c>
      <c r="L70" s="9" t="str">
        <f aca="false">IF($A70="","",WORKDAY($K70,$I70-1))</f>
        <v/>
      </c>
      <c r="M70" s="9" t="str">
        <f aca="false">IF($A70="","",WORKDAY($N70,-($I70-1)))</f>
        <v/>
      </c>
      <c r="N70" s="9" t="str">
        <f aca="false">IF($A70="","",IF(COUNTIF($F$71:$F$102,$A70)+COUNTIF($G$71:$G$102,$A70)+COUNTIF($H$71:$H$102,$A70)=0,設定!$B$3,MIN(IF(COUNTIF($F$71:$F$102,$A70)=0,999999,IFERROR(WORKDAY(_xlfn.MINIFS($M$71:$M$102,$F$71:$F$102,$A70),-1),999999)),IF(COUNTIF($G$71:$G$102,$A70)=0,999999,IFERROR(WORKDAY(_xlfn.MINIFS($M$71:$M$102,$G$71:$G$102,$A70),-1),999999)),IF(COUNTIF($H$71:$H$102,$A70)=0,999999,IFERROR(WORKDAY(_xlfn.MINIFS($M$71:$M$102,$H$71:$H$102,$A70),-1),999999)))))</f>
        <v/>
      </c>
      <c r="O70" s="22" t="str">
        <f aca="false">IF($A70="","",NETWORKDAYS($K70,$M70)-1)</f>
        <v/>
      </c>
      <c r="P70" s="22" t="str">
        <f aca="false">IF($A70="","",IF($O70&lt;=0,"クリティカル",""))</f>
        <v/>
      </c>
      <c r="Q70" s="22" t="str">
        <f aca="true">IF($A70="","",IF(AND($J70&lt;&gt;"完了",TODAY()&gt;$L70),"遅延",""))</f>
        <v/>
      </c>
      <c r="R70" s="22" t="str">
        <f aca="false">IF($A70="","",_xlfn.TEXTJOIN(", ",TRUE(),IF($F70="","",IF(IFERROR(INDEX($J$3:$J$102,MATCH($F70,$A$3:$A$102,0)),"")&lt;&gt;"完了",IFERROR(INDEX($C$3:$C$102,MATCH($F70,$A$3:$A$102,0)),""),"")),IF($G70="","",IF(IFERROR(INDEX($J$3:$J$102,MATCH($G70,$A$3:$A$102,0)),"")&lt;&gt;"完了",IFERROR(INDEX($C$3:$C$102,MATCH($G70,$A$3:$A$102,0)),""),"")),IF($H70="","",IF(IFERROR(INDEX($J$3:$J$102,MATCH($H70,$A$3:$A$102,0)),"")&lt;&gt;"完了",IFERROR(INDEX($C$3:$C$102,MATCH($H70,$A$3:$A$102,0)),""),""))))</f>
        <v/>
      </c>
      <c r="S70" s="22" t="str">
        <f aca="false">IF($A70="","",IF($J70&lt;&gt;"完了",1,0))</f>
        <v/>
      </c>
    </row>
    <row r="71" customFormat="false" ht="15" hidden="false" customHeight="false" outlineLevel="0" collapsed="false">
      <c r="A71" s="16"/>
      <c r="B71" s="16"/>
      <c r="C71" s="16"/>
      <c r="D71" s="16"/>
      <c r="E71" s="16"/>
      <c r="F71" s="16"/>
      <c r="G71" s="16"/>
      <c r="H71" s="16"/>
      <c r="I71" s="21"/>
      <c r="J71" s="16"/>
      <c r="K71" s="9" t="str">
        <f aca="false">IF($A71="","",IF(AND($F71="",$G71="",$H71=""),設定!$B$2,MAX(IF($F71="",0,IFERROR(WORKDAY(INDEX($L$3:$L$70,MATCH($F71,$A$3:$A$70,0)),1),0)),IF($G71="",0,IFERROR(WORKDAY(INDEX($L$3:$L$70,MATCH($G71,$A$3:$A$70,0)),1),0)),IF($H71="",0,IFERROR(WORKDAY(INDEX($L$3:$L$70,MATCH($H71,$A$3:$A$70,0)),1),0)))))</f>
        <v/>
      </c>
      <c r="L71" s="9" t="str">
        <f aca="false">IF($A71="","",WORKDAY($K71,$I71-1))</f>
        <v/>
      </c>
      <c r="M71" s="9" t="str">
        <f aca="false">IF($A71="","",WORKDAY($N71,-($I71-1)))</f>
        <v/>
      </c>
      <c r="N71" s="9" t="str">
        <f aca="false">IF($A71="","",IF(COUNTIF($F$72:$F$102,$A71)+COUNTIF($G$72:$G$102,$A71)+COUNTIF($H$72:$H$102,$A71)=0,設定!$B$3,MIN(IF(COUNTIF($F$72:$F$102,$A71)=0,999999,IFERROR(WORKDAY(_xlfn.MINIFS($M$72:$M$102,$F$72:$F$102,$A71),-1),999999)),IF(COUNTIF($G$72:$G$102,$A71)=0,999999,IFERROR(WORKDAY(_xlfn.MINIFS($M$72:$M$102,$G$72:$G$102,$A71),-1),999999)),IF(COUNTIF($H$72:$H$102,$A71)=0,999999,IFERROR(WORKDAY(_xlfn.MINIFS($M$72:$M$102,$H$72:$H$102,$A71),-1),999999)))))</f>
        <v/>
      </c>
      <c r="O71" s="22" t="str">
        <f aca="false">IF($A71="","",NETWORKDAYS($K71,$M71)-1)</f>
        <v/>
      </c>
      <c r="P71" s="22" t="str">
        <f aca="false">IF($A71="","",IF($O71&lt;=0,"クリティカル",""))</f>
        <v/>
      </c>
      <c r="Q71" s="22" t="str">
        <f aca="true">IF($A71="","",IF(AND($J71&lt;&gt;"完了",TODAY()&gt;$L71),"遅延",""))</f>
        <v/>
      </c>
      <c r="R71" s="22" t="str">
        <f aca="false">IF($A71="","",_xlfn.TEXTJOIN(", ",TRUE(),IF($F71="","",IF(IFERROR(INDEX($J$3:$J$102,MATCH($F71,$A$3:$A$102,0)),"")&lt;&gt;"完了",IFERROR(INDEX($C$3:$C$102,MATCH($F71,$A$3:$A$102,0)),""),"")),IF($G71="","",IF(IFERROR(INDEX($J$3:$J$102,MATCH($G71,$A$3:$A$102,0)),"")&lt;&gt;"完了",IFERROR(INDEX($C$3:$C$102,MATCH($G71,$A$3:$A$102,0)),""),"")),IF($H71="","",IF(IFERROR(INDEX($J$3:$J$102,MATCH($H71,$A$3:$A$102,0)),"")&lt;&gt;"完了",IFERROR(INDEX($C$3:$C$102,MATCH($H71,$A$3:$A$102,0)),""),""))))</f>
        <v/>
      </c>
      <c r="S71" s="22" t="str">
        <f aca="false">IF($A71="","",IF($J71&lt;&gt;"完了",1,0))</f>
        <v/>
      </c>
    </row>
    <row r="72" customFormat="false" ht="15" hidden="false" customHeight="false" outlineLevel="0" collapsed="false">
      <c r="A72" s="16"/>
      <c r="B72" s="16"/>
      <c r="C72" s="16"/>
      <c r="D72" s="16"/>
      <c r="E72" s="16"/>
      <c r="F72" s="16"/>
      <c r="G72" s="16"/>
      <c r="H72" s="16"/>
      <c r="I72" s="21"/>
      <c r="J72" s="16"/>
      <c r="K72" s="9" t="str">
        <f aca="false">IF($A72="","",IF(AND($F72="",$G72="",$H72=""),設定!$B$2,MAX(IF($F72="",0,IFERROR(WORKDAY(INDEX($L$3:$L$71,MATCH($F72,$A$3:$A$71,0)),1),0)),IF($G72="",0,IFERROR(WORKDAY(INDEX($L$3:$L$71,MATCH($G72,$A$3:$A$71,0)),1),0)),IF($H72="",0,IFERROR(WORKDAY(INDEX($L$3:$L$71,MATCH($H72,$A$3:$A$71,0)),1),0)))))</f>
        <v/>
      </c>
      <c r="L72" s="9" t="str">
        <f aca="false">IF($A72="","",WORKDAY($K72,$I72-1))</f>
        <v/>
      </c>
      <c r="M72" s="9" t="str">
        <f aca="false">IF($A72="","",WORKDAY($N72,-($I72-1)))</f>
        <v/>
      </c>
      <c r="N72" s="9" t="str">
        <f aca="false">IF($A72="","",IF(COUNTIF($F$73:$F$102,$A72)+COUNTIF($G$73:$G$102,$A72)+COUNTIF($H$73:$H$102,$A72)=0,設定!$B$3,MIN(IF(COUNTIF($F$73:$F$102,$A72)=0,999999,IFERROR(WORKDAY(_xlfn.MINIFS($M$73:$M$102,$F$73:$F$102,$A72),-1),999999)),IF(COUNTIF($G$73:$G$102,$A72)=0,999999,IFERROR(WORKDAY(_xlfn.MINIFS($M$73:$M$102,$G$73:$G$102,$A72),-1),999999)),IF(COUNTIF($H$73:$H$102,$A72)=0,999999,IFERROR(WORKDAY(_xlfn.MINIFS($M$73:$M$102,$H$73:$H$102,$A72),-1),999999)))))</f>
        <v/>
      </c>
      <c r="O72" s="22" t="str">
        <f aca="false">IF($A72="","",NETWORKDAYS($K72,$M72)-1)</f>
        <v/>
      </c>
      <c r="P72" s="22" t="str">
        <f aca="false">IF($A72="","",IF($O72&lt;=0,"クリティカル",""))</f>
        <v/>
      </c>
      <c r="Q72" s="22" t="str">
        <f aca="true">IF($A72="","",IF(AND($J72&lt;&gt;"完了",TODAY()&gt;$L72),"遅延",""))</f>
        <v/>
      </c>
      <c r="R72" s="22" t="str">
        <f aca="false">IF($A72="","",_xlfn.TEXTJOIN(", ",TRUE(),IF($F72="","",IF(IFERROR(INDEX($J$3:$J$102,MATCH($F72,$A$3:$A$102,0)),"")&lt;&gt;"完了",IFERROR(INDEX($C$3:$C$102,MATCH($F72,$A$3:$A$102,0)),""),"")),IF($G72="","",IF(IFERROR(INDEX($J$3:$J$102,MATCH($G72,$A$3:$A$102,0)),"")&lt;&gt;"完了",IFERROR(INDEX($C$3:$C$102,MATCH($G72,$A$3:$A$102,0)),""),"")),IF($H72="","",IF(IFERROR(INDEX($J$3:$J$102,MATCH($H72,$A$3:$A$102,0)),"")&lt;&gt;"完了",IFERROR(INDEX($C$3:$C$102,MATCH($H72,$A$3:$A$102,0)),""),""))))</f>
        <v/>
      </c>
      <c r="S72" s="22" t="str">
        <f aca="false">IF($A72="","",IF($J72&lt;&gt;"完了",1,0))</f>
        <v/>
      </c>
    </row>
    <row r="73" customFormat="false" ht="15" hidden="false" customHeight="false" outlineLevel="0" collapsed="false">
      <c r="A73" s="16"/>
      <c r="B73" s="16"/>
      <c r="C73" s="16"/>
      <c r="D73" s="16"/>
      <c r="E73" s="16"/>
      <c r="F73" s="16"/>
      <c r="G73" s="16"/>
      <c r="H73" s="16"/>
      <c r="I73" s="21"/>
      <c r="J73" s="16"/>
      <c r="K73" s="9" t="str">
        <f aca="false">IF($A73="","",IF(AND($F73="",$G73="",$H73=""),設定!$B$2,MAX(IF($F73="",0,IFERROR(WORKDAY(INDEX($L$3:$L$72,MATCH($F73,$A$3:$A$72,0)),1),0)),IF($G73="",0,IFERROR(WORKDAY(INDEX($L$3:$L$72,MATCH($G73,$A$3:$A$72,0)),1),0)),IF($H73="",0,IFERROR(WORKDAY(INDEX($L$3:$L$72,MATCH($H73,$A$3:$A$72,0)),1),0)))))</f>
        <v/>
      </c>
      <c r="L73" s="9" t="str">
        <f aca="false">IF($A73="","",WORKDAY($K73,$I73-1))</f>
        <v/>
      </c>
      <c r="M73" s="9" t="str">
        <f aca="false">IF($A73="","",WORKDAY($N73,-($I73-1)))</f>
        <v/>
      </c>
      <c r="N73" s="9" t="str">
        <f aca="false">IF($A73="","",IF(COUNTIF($F$74:$F$102,$A73)+COUNTIF($G$74:$G$102,$A73)+COUNTIF($H$74:$H$102,$A73)=0,設定!$B$3,MIN(IF(COUNTIF($F$74:$F$102,$A73)=0,999999,IFERROR(WORKDAY(_xlfn.MINIFS($M$74:$M$102,$F$74:$F$102,$A73),-1),999999)),IF(COUNTIF($G$74:$G$102,$A73)=0,999999,IFERROR(WORKDAY(_xlfn.MINIFS($M$74:$M$102,$G$74:$G$102,$A73),-1),999999)),IF(COUNTIF($H$74:$H$102,$A73)=0,999999,IFERROR(WORKDAY(_xlfn.MINIFS($M$74:$M$102,$H$74:$H$102,$A73),-1),999999)))))</f>
        <v/>
      </c>
      <c r="O73" s="22" t="str">
        <f aca="false">IF($A73="","",NETWORKDAYS($K73,$M73)-1)</f>
        <v/>
      </c>
      <c r="P73" s="22" t="str">
        <f aca="false">IF($A73="","",IF($O73&lt;=0,"クリティカル",""))</f>
        <v/>
      </c>
      <c r="Q73" s="22" t="str">
        <f aca="true">IF($A73="","",IF(AND($J73&lt;&gt;"完了",TODAY()&gt;$L73),"遅延",""))</f>
        <v/>
      </c>
      <c r="R73" s="22" t="str">
        <f aca="false">IF($A73="","",_xlfn.TEXTJOIN(", ",TRUE(),IF($F73="","",IF(IFERROR(INDEX($J$3:$J$102,MATCH($F73,$A$3:$A$102,0)),"")&lt;&gt;"完了",IFERROR(INDEX($C$3:$C$102,MATCH($F73,$A$3:$A$102,0)),""),"")),IF($G73="","",IF(IFERROR(INDEX($J$3:$J$102,MATCH($G73,$A$3:$A$102,0)),"")&lt;&gt;"完了",IFERROR(INDEX($C$3:$C$102,MATCH($G73,$A$3:$A$102,0)),""),"")),IF($H73="","",IF(IFERROR(INDEX($J$3:$J$102,MATCH($H73,$A$3:$A$102,0)),"")&lt;&gt;"完了",IFERROR(INDEX($C$3:$C$102,MATCH($H73,$A$3:$A$102,0)),""),""))))</f>
        <v/>
      </c>
      <c r="S73" s="22" t="str">
        <f aca="false">IF($A73="","",IF($J73&lt;&gt;"完了",1,0))</f>
        <v/>
      </c>
    </row>
    <row r="74" customFormat="false" ht="15" hidden="false" customHeight="false" outlineLevel="0" collapsed="false">
      <c r="A74" s="16"/>
      <c r="B74" s="16"/>
      <c r="C74" s="16"/>
      <c r="D74" s="16"/>
      <c r="E74" s="16"/>
      <c r="F74" s="16"/>
      <c r="G74" s="16"/>
      <c r="H74" s="16"/>
      <c r="I74" s="21"/>
      <c r="J74" s="16"/>
      <c r="K74" s="9" t="str">
        <f aca="false">IF($A74="","",IF(AND($F74="",$G74="",$H74=""),設定!$B$2,MAX(IF($F74="",0,IFERROR(WORKDAY(INDEX($L$3:$L$73,MATCH($F74,$A$3:$A$73,0)),1),0)),IF($G74="",0,IFERROR(WORKDAY(INDEX($L$3:$L$73,MATCH($G74,$A$3:$A$73,0)),1),0)),IF($H74="",0,IFERROR(WORKDAY(INDEX($L$3:$L$73,MATCH($H74,$A$3:$A$73,0)),1),0)))))</f>
        <v/>
      </c>
      <c r="L74" s="9" t="str">
        <f aca="false">IF($A74="","",WORKDAY($K74,$I74-1))</f>
        <v/>
      </c>
      <c r="M74" s="9" t="str">
        <f aca="false">IF($A74="","",WORKDAY($N74,-($I74-1)))</f>
        <v/>
      </c>
      <c r="N74" s="9" t="str">
        <f aca="false">IF($A74="","",IF(COUNTIF($F$75:$F$102,$A74)+COUNTIF($G$75:$G$102,$A74)+COUNTIF($H$75:$H$102,$A74)=0,設定!$B$3,MIN(IF(COUNTIF($F$75:$F$102,$A74)=0,999999,IFERROR(WORKDAY(_xlfn.MINIFS($M$75:$M$102,$F$75:$F$102,$A74),-1),999999)),IF(COUNTIF($G$75:$G$102,$A74)=0,999999,IFERROR(WORKDAY(_xlfn.MINIFS($M$75:$M$102,$G$75:$G$102,$A74),-1),999999)),IF(COUNTIF($H$75:$H$102,$A74)=0,999999,IFERROR(WORKDAY(_xlfn.MINIFS($M$75:$M$102,$H$75:$H$102,$A74),-1),999999)))))</f>
        <v/>
      </c>
      <c r="O74" s="22" t="str">
        <f aca="false">IF($A74="","",NETWORKDAYS($K74,$M74)-1)</f>
        <v/>
      </c>
      <c r="P74" s="22" t="str">
        <f aca="false">IF($A74="","",IF($O74&lt;=0,"クリティカル",""))</f>
        <v/>
      </c>
      <c r="Q74" s="22" t="str">
        <f aca="true">IF($A74="","",IF(AND($J74&lt;&gt;"完了",TODAY()&gt;$L74),"遅延",""))</f>
        <v/>
      </c>
      <c r="R74" s="22" t="str">
        <f aca="false">IF($A74="","",_xlfn.TEXTJOIN(", ",TRUE(),IF($F74="","",IF(IFERROR(INDEX($J$3:$J$102,MATCH($F74,$A$3:$A$102,0)),"")&lt;&gt;"完了",IFERROR(INDEX($C$3:$C$102,MATCH($F74,$A$3:$A$102,0)),""),"")),IF($G74="","",IF(IFERROR(INDEX($J$3:$J$102,MATCH($G74,$A$3:$A$102,0)),"")&lt;&gt;"完了",IFERROR(INDEX($C$3:$C$102,MATCH($G74,$A$3:$A$102,0)),""),"")),IF($H74="","",IF(IFERROR(INDEX($J$3:$J$102,MATCH($H74,$A$3:$A$102,0)),"")&lt;&gt;"完了",IFERROR(INDEX($C$3:$C$102,MATCH($H74,$A$3:$A$102,0)),""),""))))</f>
        <v/>
      </c>
      <c r="S74" s="22" t="str">
        <f aca="false">IF($A74="","",IF($J74&lt;&gt;"完了",1,0))</f>
        <v/>
      </c>
    </row>
    <row r="75" customFormat="false" ht="15" hidden="false" customHeight="false" outlineLevel="0" collapsed="false">
      <c r="A75" s="16"/>
      <c r="B75" s="16"/>
      <c r="C75" s="16"/>
      <c r="D75" s="16"/>
      <c r="E75" s="16"/>
      <c r="F75" s="16"/>
      <c r="G75" s="16"/>
      <c r="H75" s="16"/>
      <c r="I75" s="21"/>
      <c r="J75" s="16"/>
      <c r="K75" s="9" t="str">
        <f aca="false">IF($A75="","",IF(AND($F75="",$G75="",$H75=""),設定!$B$2,MAX(IF($F75="",0,IFERROR(WORKDAY(INDEX($L$3:$L$74,MATCH($F75,$A$3:$A$74,0)),1),0)),IF($G75="",0,IFERROR(WORKDAY(INDEX($L$3:$L$74,MATCH($G75,$A$3:$A$74,0)),1),0)),IF($H75="",0,IFERROR(WORKDAY(INDEX($L$3:$L$74,MATCH($H75,$A$3:$A$74,0)),1),0)))))</f>
        <v/>
      </c>
      <c r="L75" s="9" t="str">
        <f aca="false">IF($A75="","",WORKDAY($K75,$I75-1))</f>
        <v/>
      </c>
      <c r="M75" s="9" t="str">
        <f aca="false">IF($A75="","",WORKDAY($N75,-($I75-1)))</f>
        <v/>
      </c>
      <c r="N75" s="9" t="str">
        <f aca="false">IF($A75="","",IF(COUNTIF($F$76:$F$102,$A75)+COUNTIF($G$76:$G$102,$A75)+COUNTIF($H$76:$H$102,$A75)=0,設定!$B$3,MIN(IF(COUNTIF($F$76:$F$102,$A75)=0,999999,IFERROR(WORKDAY(_xlfn.MINIFS($M$76:$M$102,$F$76:$F$102,$A75),-1),999999)),IF(COUNTIF($G$76:$G$102,$A75)=0,999999,IFERROR(WORKDAY(_xlfn.MINIFS($M$76:$M$102,$G$76:$G$102,$A75),-1),999999)),IF(COUNTIF($H$76:$H$102,$A75)=0,999999,IFERROR(WORKDAY(_xlfn.MINIFS($M$76:$M$102,$H$76:$H$102,$A75),-1),999999)))))</f>
        <v/>
      </c>
      <c r="O75" s="22" t="str">
        <f aca="false">IF($A75="","",NETWORKDAYS($K75,$M75)-1)</f>
        <v/>
      </c>
      <c r="P75" s="22" t="str">
        <f aca="false">IF($A75="","",IF($O75&lt;=0,"クリティカル",""))</f>
        <v/>
      </c>
      <c r="Q75" s="22" t="str">
        <f aca="true">IF($A75="","",IF(AND($J75&lt;&gt;"完了",TODAY()&gt;$L75),"遅延",""))</f>
        <v/>
      </c>
      <c r="R75" s="22" t="str">
        <f aca="false">IF($A75="","",_xlfn.TEXTJOIN(", ",TRUE(),IF($F75="","",IF(IFERROR(INDEX($J$3:$J$102,MATCH($F75,$A$3:$A$102,0)),"")&lt;&gt;"完了",IFERROR(INDEX($C$3:$C$102,MATCH($F75,$A$3:$A$102,0)),""),"")),IF($G75="","",IF(IFERROR(INDEX($J$3:$J$102,MATCH($G75,$A$3:$A$102,0)),"")&lt;&gt;"完了",IFERROR(INDEX($C$3:$C$102,MATCH($G75,$A$3:$A$102,0)),""),"")),IF($H75="","",IF(IFERROR(INDEX($J$3:$J$102,MATCH($H75,$A$3:$A$102,0)),"")&lt;&gt;"完了",IFERROR(INDEX($C$3:$C$102,MATCH($H75,$A$3:$A$102,0)),""),""))))</f>
        <v/>
      </c>
      <c r="S75" s="22" t="str">
        <f aca="false">IF($A75="","",IF($J75&lt;&gt;"完了",1,0))</f>
        <v/>
      </c>
    </row>
    <row r="76" customFormat="false" ht="15" hidden="false" customHeight="false" outlineLevel="0" collapsed="false">
      <c r="A76" s="16"/>
      <c r="B76" s="16"/>
      <c r="C76" s="16"/>
      <c r="D76" s="16"/>
      <c r="E76" s="16"/>
      <c r="F76" s="16"/>
      <c r="G76" s="16"/>
      <c r="H76" s="16"/>
      <c r="I76" s="21"/>
      <c r="J76" s="16"/>
      <c r="K76" s="9" t="str">
        <f aca="false">IF($A76="","",IF(AND($F76="",$G76="",$H76=""),設定!$B$2,MAX(IF($F76="",0,IFERROR(WORKDAY(INDEX($L$3:$L$75,MATCH($F76,$A$3:$A$75,0)),1),0)),IF($G76="",0,IFERROR(WORKDAY(INDEX($L$3:$L$75,MATCH($G76,$A$3:$A$75,0)),1),0)),IF($H76="",0,IFERROR(WORKDAY(INDEX($L$3:$L$75,MATCH($H76,$A$3:$A$75,0)),1),0)))))</f>
        <v/>
      </c>
      <c r="L76" s="9" t="str">
        <f aca="false">IF($A76="","",WORKDAY($K76,$I76-1))</f>
        <v/>
      </c>
      <c r="M76" s="9" t="str">
        <f aca="false">IF($A76="","",WORKDAY($N76,-($I76-1)))</f>
        <v/>
      </c>
      <c r="N76" s="9" t="str">
        <f aca="false">IF($A76="","",IF(COUNTIF($F$77:$F$102,$A76)+COUNTIF($G$77:$G$102,$A76)+COUNTIF($H$77:$H$102,$A76)=0,設定!$B$3,MIN(IF(COUNTIF($F$77:$F$102,$A76)=0,999999,IFERROR(WORKDAY(_xlfn.MINIFS($M$77:$M$102,$F$77:$F$102,$A76),-1),999999)),IF(COUNTIF($G$77:$G$102,$A76)=0,999999,IFERROR(WORKDAY(_xlfn.MINIFS($M$77:$M$102,$G$77:$G$102,$A76),-1),999999)),IF(COUNTIF($H$77:$H$102,$A76)=0,999999,IFERROR(WORKDAY(_xlfn.MINIFS($M$77:$M$102,$H$77:$H$102,$A76),-1),999999)))))</f>
        <v/>
      </c>
      <c r="O76" s="22" t="str">
        <f aca="false">IF($A76="","",NETWORKDAYS($K76,$M76)-1)</f>
        <v/>
      </c>
      <c r="P76" s="22" t="str">
        <f aca="false">IF($A76="","",IF($O76&lt;=0,"クリティカル",""))</f>
        <v/>
      </c>
      <c r="Q76" s="22" t="str">
        <f aca="true">IF($A76="","",IF(AND($J76&lt;&gt;"完了",TODAY()&gt;$L76),"遅延",""))</f>
        <v/>
      </c>
      <c r="R76" s="22" t="str">
        <f aca="false">IF($A76="","",_xlfn.TEXTJOIN(", ",TRUE(),IF($F76="","",IF(IFERROR(INDEX($J$3:$J$102,MATCH($F76,$A$3:$A$102,0)),"")&lt;&gt;"完了",IFERROR(INDEX($C$3:$C$102,MATCH($F76,$A$3:$A$102,0)),""),"")),IF($G76="","",IF(IFERROR(INDEX($J$3:$J$102,MATCH($G76,$A$3:$A$102,0)),"")&lt;&gt;"完了",IFERROR(INDEX($C$3:$C$102,MATCH($G76,$A$3:$A$102,0)),""),"")),IF($H76="","",IF(IFERROR(INDEX($J$3:$J$102,MATCH($H76,$A$3:$A$102,0)),"")&lt;&gt;"完了",IFERROR(INDEX($C$3:$C$102,MATCH($H76,$A$3:$A$102,0)),""),""))))</f>
        <v/>
      </c>
      <c r="S76" s="22" t="str">
        <f aca="false">IF($A76="","",IF($J76&lt;&gt;"完了",1,0))</f>
        <v/>
      </c>
    </row>
    <row r="77" customFormat="false" ht="15" hidden="false" customHeight="false" outlineLevel="0" collapsed="false">
      <c r="A77" s="16"/>
      <c r="B77" s="16"/>
      <c r="C77" s="16"/>
      <c r="D77" s="16"/>
      <c r="E77" s="16"/>
      <c r="F77" s="16"/>
      <c r="G77" s="16"/>
      <c r="H77" s="16"/>
      <c r="I77" s="21"/>
      <c r="J77" s="16"/>
      <c r="K77" s="9" t="str">
        <f aca="false">IF($A77="","",IF(AND($F77="",$G77="",$H77=""),設定!$B$2,MAX(IF($F77="",0,IFERROR(WORKDAY(INDEX($L$3:$L$76,MATCH($F77,$A$3:$A$76,0)),1),0)),IF($G77="",0,IFERROR(WORKDAY(INDEX($L$3:$L$76,MATCH($G77,$A$3:$A$76,0)),1),0)),IF($H77="",0,IFERROR(WORKDAY(INDEX($L$3:$L$76,MATCH($H77,$A$3:$A$76,0)),1),0)))))</f>
        <v/>
      </c>
      <c r="L77" s="9" t="str">
        <f aca="false">IF($A77="","",WORKDAY($K77,$I77-1))</f>
        <v/>
      </c>
      <c r="M77" s="9" t="str">
        <f aca="false">IF($A77="","",WORKDAY($N77,-($I77-1)))</f>
        <v/>
      </c>
      <c r="N77" s="9" t="str">
        <f aca="false">IF($A77="","",IF(COUNTIF($F$78:$F$102,$A77)+COUNTIF($G$78:$G$102,$A77)+COUNTIF($H$78:$H$102,$A77)=0,設定!$B$3,MIN(IF(COUNTIF($F$78:$F$102,$A77)=0,999999,IFERROR(WORKDAY(_xlfn.MINIFS($M$78:$M$102,$F$78:$F$102,$A77),-1),999999)),IF(COUNTIF($G$78:$G$102,$A77)=0,999999,IFERROR(WORKDAY(_xlfn.MINIFS($M$78:$M$102,$G$78:$G$102,$A77),-1),999999)),IF(COUNTIF($H$78:$H$102,$A77)=0,999999,IFERROR(WORKDAY(_xlfn.MINIFS($M$78:$M$102,$H$78:$H$102,$A77),-1),999999)))))</f>
        <v/>
      </c>
      <c r="O77" s="22" t="str">
        <f aca="false">IF($A77="","",NETWORKDAYS($K77,$M77)-1)</f>
        <v/>
      </c>
      <c r="P77" s="22" t="str">
        <f aca="false">IF($A77="","",IF($O77&lt;=0,"クリティカル",""))</f>
        <v/>
      </c>
      <c r="Q77" s="22" t="str">
        <f aca="true">IF($A77="","",IF(AND($J77&lt;&gt;"完了",TODAY()&gt;$L77),"遅延",""))</f>
        <v/>
      </c>
      <c r="R77" s="22" t="str">
        <f aca="false">IF($A77="","",_xlfn.TEXTJOIN(", ",TRUE(),IF($F77="","",IF(IFERROR(INDEX($J$3:$J$102,MATCH($F77,$A$3:$A$102,0)),"")&lt;&gt;"完了",IFERROR(INDEX($C$3:$C$102,MATCH($F77,$A$3:$A$102,0)),""),"")),IF($G77="","",IF(IFERROR(INDEX($J$3:$J$102,MATCH($G77,$A$3:$A$102,0)),"")&lt;&gt;"完了",IFERROR(INDEX($C$3:$C$102,MATCH($G77,$A$3:$A$102,0)),""),"")),IF($H77="","",IF(IFERROR(INDEX($J$3:$J$102,MATCH($H77,$A$3:$A$102,0)),"")&lt;&gt;"完了",IFERROR(INDEX($C$3:$C$102,MATCH($H77,$A$3:$A$102,0)),""),""))))</f>
        <v/>
      </c>
      <c r="S77" s="22" t="str">
        <f aca="false">IF($A77="","",IF($J77&lt;&gt;"完了",1,0))</f>
        <v/>
      </c>
    </row>
    <row r="78" customFormat="false" ht="15" hidden="false" customHeight="false" outlineLevel="0" collapsed="false">
      <c r="A78" s="16"/>
      <c r="B78" s="16"/>
      <c r="C78" s="16"/>
      <c r="D78" s="16"/>
      <c r="E78" s="16"/>
      <c r="F78" s="16"/>
      <c r="G78" s="16"/>
      <c r="H78" s="16"/>
      <c r="I78" s="21"/>
      <c r="J78" s="16"/>
      <c r="K78" s="9" t="str">
        <f aca="false">IF($A78="","",IF(AND($F78="",$G78="",$H78=""),設定!$B$2,MAX(IF($F78="",0,IFERROR(WORKDAY(INDEX($L$3:$L$77,MATCH($F78,$A$3:$A$77,0)),1),0)),IF($G78="",0,IFERROR(WORKDAY(INDEX($L$3:$L$77,MATCH($G78,$A$3:$A$77,0)),1),0)),IF($H78="",0,IFERROR(WORKDAY(INDEX($L$3:$L$77,MATCH($H78,$A$3:$A$77,0)),1),0)))))</f>
        <v/>
      </c>
      <c r="L78" s="9" t="str">
        <f aca="false">IF($A78="","",WORKDAY($K78,$I78-1))</f>
        <v/>
      </c>
      <c r="M78" s="9" t="str">
        <f aca="false">IF($A78="","",WORKDAY($N78,-($I78-1)))</f>
        <v/>
      </c>
      <c r="N78" s="9" t="str">
        <f aca="false">IF($A78="","",IF(COUNTIF($F$79:$F$102,$A78)+COUNTIF($G$79:$G$102,$A78)+COUNTIF($H$79:$H$102,$A78)=0,設定!$B$3,MIN(IF(COUNTIF($F$79:$F$102,$A78)=0,999999,IFERROR(WORKDAY(_xlfn.MINIFS($M$79:$M$102,$F$79:$F$102,$A78),-1),999999)),IF(COUNTIF($G$79:$G$102,$A78)=0,999999,IFERROR(WORKDAY(_xlfn.MINIFS($M$79:$M$102,$G$79:$G$102,$A78),-1),999999)),IF(COUNTIF($H$79:$H$102,$A78)=0,999999,IFERROR(WORKDAY(_xlfn.MINIFS($M$79:$M$102,$H$79:$H$102,$A78),-1),999999)))))</f>
        <v/>
      </c>
      <c r="O78" s="22" t="str">
        <f aca="false">IF($A78="","",NETWORKDAYS($K78,$M78)-1)</f>
        <v/>
      </c>
      <c r="P78" s="22" t="str">
        <f aca="false">IF($A78="","",IF($O78&lt;=0,"クリティカル",""))</f>
        <v/>
      </c>
      <c r="Q78" s="22" t="str">
        <f aca="true">IF($A78="","",IF(AND($J78&lt;&gt;"完了",TODAY()&gt;$L78),"遅延",""))</f>
        <v/>
      </c>
      <c r="R78" s="22" t="str">
        <f aca="false">IF($A78="","",_xlfn.TEXTJOIN(", ",TRUE(),IF($F78="","",IF(IFERROR(INDEX($J$3:$J$102,MATCH($F78,$A$3:$A$102,0)),"")&lt;&gt;"完了",IFERROR(INDEX($C$3:$C$102,MATCH($F78,$A$3:$A$102,0)),""),"")),IF($G78="","",IF(IFERROR(INDEX($J$3:$J$102,MATCH($G78,$A$3:$A$102,0)),"")&lt;&gt;"完了",IFERROR(INDEX($C$3:$C$102,MATCH($G78,$A$3:$A$102,0)),""),"")),IF($H78="","",IF(IFERROR(INDEX($J$3:$J$102,MATCH($H78,$A$3:$A$102,0)),"")&lt;&gt;"完了",IFERROR(INDEX($C$3:$C$102,MATCH($H78,$A$3:$A$102,0)),""),""))))</f>
        <v/>
      </c>
      <c r="S78" s="22" t="str">
        <f aca="false">IF($A78="","",IF($J78&lt;&gt;"完了",1,0))</f>
        <v/>
      </c>
    </row>
    <row r="79" customFormat="false" ht="15" hidden="false" customHeight="false" outlineLevel="0" collapsed="false">
      <c r="A79" s="16"/>
      <c r="B79" s="16"/>
      <c r="C79" s="16"/>
      <c r="D79" s="16"/>
      <c r="E79" s="16"/>
      <c r="F79" s="16"/>
      <c r="G79" s="16"/>
      <c r="H79" s="16"/>
      <c r="I79" s="21"/>
      <c r="J79" s="16"/>
      <c r="K79" s="9" t="str">
        <f aca="false">IF($A79="","",IF(AND($F79="",$G79="",$H79=""),設定!$B$2,MAX(IF($F79="",0,IFERROR(WORKDAY(INDEX($L$3:$L$78,MATCH($F79,$A$3:$A$78,0)),1),0)),IF($G79="",0,IFERROR(WORKDAY(INDEX($L$3:$L$78,MATCH($G79,$A$3:$A$78,0)),1),0)),IF($H79="",0,IFERROR(WORKDAY(INDEX($L$3:$L$78,MATCH($H79,$A$3:$A$78,0)),1),0)))))</f>
        <v/>
      </c>
      <c r="L79" s="9" t="str">
        <f aca="false">IF($A79="","",WORKDAY($K79,$I79-1))</f>
        <v/>
      </c>
      <c r="M79" s="9" t="str">
        <f aca="false">IF($A79="","",WORKDAY($N79,-($I79-1)))</f>
        <v/>
      </c>
      <c r="N79" s="9" t="str">
        <f aca="false">IF($A79="","",IF(COUNTIF($F$80:$F$102,$A79)+COUNTIF($G$80:$G$102,$A79)+COUNTIF($H$80:$H$102,$A79)=0,設定!$B$3,MIN(IF(COUNTIF($F$80:$F$102,$A79)=0,999999,IFERROR(WORKDAY(_xlfn.MINIFS($M$80:$M$102,$F$80:$F$102,$A79),-1),999999)),IF(COUNTIF($G$80:$G$102,$A79)=0,999999,IFERROR(WORKDAY(_xlfn.MINIFS($M$80:$M$102,$G$80:$G$102,$A79),-1),999999)),IF(COUNTIF($H$80:$H$102,$A79)=0,999999,IFERROR(WORKDAY(_xlfn.MINIFS($M$80:$M$102,$H$80:$H$102,$A79),-1),999999)))))</f>
        <v/>
      </c>
      <c r="O79" s="22" t="str">
        <f aca="false">IF($A79="","",NETWORKDAYS($K79,$M79)-1)</f>
        <v/>
      </c>
      <c r="P79" s="22" t="str">
        <f aca="false">IF($A79="","",IF($O79&lt;=0,"クリティカル",""))</f>
        <v/>
      </c>
      <c r="Q79" s="22" t="str">
        <f aca="true">IF($A79="","",IF(AND($J79&lt;&gt;"完了",TODAY()&gt;$L79),"遅延",""))</f>
        <v/>
      </c>
      <c r="R79" s="22" t="str">
        <f aca="false">IF($A79="","",_xlfn.TEXTJOIN(", ",TRUE(),IF($F79="","",IF(IFERROR(INDEX($J$3:$J$102,MATCH($F79,$A$3:$A$102,0)),"")&lt;&gt;"完了",IFERROR(INDEX($C$3:$C$102,MATCH($F79,$A$3:$A$102,0)),""),"")),IF($G79="","",IF(IFERROR(INDEX($J$3:$J$102,MATCH($G79,$A$3:$A$102,0)),"")&lt;&gt;"完了",IFERROR(INDEX($C$3:$C$102,MATCH($G79,$A$3:$A$102,0)),""),"")),IF($H79="","",IF(IFERROR(INDEX($J$3:$J$102,MATCH($H79,$A$3:$A$102,0)),"")&lt;&gt;"完了",IFERROR(INDEX($C$3:$C$102,MATCH($H79,$A$3:$A$102,0)),""),""))))</f>
        <v/>
      </c>
      <c r="S79" s="22" t="str">
        <f aca="false">IF($A79="","",IF($J79&lt;&gt;"完了",1,0))</f>
        <v/>
      </c>
    </row>
    <row r="80" customFormat="false" ht="15" hidden="false" customHeight="false" outlineLevel="0" collapsed="false">
      <c r="A80" s="16"/>
      <c r="B80" s="16"/>
      <c r="C80" s="16"/>
      <c r="D80" s="16"/>
      <c r="E80" s="16"/>
      <c r="F80" s="16"/>
      <c r="G80" s="16"/>
      <c r="H80" s="16"/>
      <c r="I80" s="21"/>
      <c r="J80" s="16"/>
      <c r="K80" s="9" t="str">
        <f aca="false">IF($A80="","",IF(AND($F80="",$G80="",$H80=""),設定!$B$2,MAX(IF($F80="",0,IFERROR(WORKDAY(INDEX($L$3:$L$79,MATCH($F80,$A$3:$A$79,0)),1),0)),IF($G80="",0,IFERROR(WORKDAY(INDEX($L$3:$L$79,MATCH($G80,$A$3:$A$79,0)),1),0)),IF($H80="",0,IFERROR(WORKDAY(INDEX($L$3:$L$79,MATCH($H80,$A$3:$A$79,0)),1),0)))))</f>
        <v/>
      </c>
      <c r="L80" s="9" t="str">
        <f aca="false">IF($A80="","",WORKDAY($K80,$I80-1))</f>
        <v/>
      </c>
      <c r="M80" s="9" t="str">
        <f aca="false">IF($A80="","",WORKDAY($N80,-($I80-1)))</f>
        <v/>
      </c>
      <c r="N80" s="9" t="str">
        <f aca="false">IF($A80="","",IF(COUNTIF($F$81:$F$102,$A80)+COUNTIF($G$81:$G$102,$A80)+COUNTIF($H$81:$H$102,$A80)=0,設定!$B$3,MIN(IF(COUNTIF($F$81:$F$102,$A80)=0,999999,IFERROR(WORKDAY(_xlfn.MINIFS($M$81:$M$102,$F$81:$F$102,$A80),-1),999999)),IF(COUNTIF($G$81:$G$102,$A80)=0,999999,IFERROR(WORKDAY(_xlfn.MINIFS($M$81:$M$102,$G$81:$G$102,$A80),-1),999999)),IF(COUNTIF($H$81:$H$102,$A80)=0,999999,IFERROR(WORKDAY(_xlfn.MINIFS($M$81:$M$102,$H$81:$H$102,$A80),-1),999999)))))</f>
        <v/>
      </c>
      <c r="O80" s="22" t="str">
        <f aca="false">IF($A80="","",NETWORKDAYS($K80,$M80)-1)</f>
        <v/>
      </c>
      <c r="P80" s="22" t="str">
        <f aca="false">IF($A80="","",IF($O80&lt;=0,"クリティカル",""))</f>
        <v/>
      </c>
      <c r="Q80" s="22" t="str">
        <f aca="true">IF($A80="","",IF(AND($J80&lt;&gt;"完了",TODAY()&gt;$L80),"遅延",""))</f>
        <v/>
      </c>
      <c r="R80" s="22" t="str">
        <f aca="false">IF($A80="","",_xlfn.TEXTJOIN(", ",TRUE(),IF($F80="","",IF(IFERROR(INDEX($J$3:$J$102,MATCH($F80,$A$3:$A$102,0)),"")&lt;&gt;"完了",IFERROR(INDEX($C$3:$C$102,MATCH($F80,$A$3:$A$102,0)),""),"")),IF($G80="","",IF(IFERROR(INDEX($J$3:$J$102,MATCH($G80,$A$3:$A$102,0)),"")&lt;&gt;"完了",IFERROR(INDEX($C$3:$C$102,MATCH($G80,$A$3:$A$102,0)),""),"")),IF($H80="","",IF(IFERROR(INDEX($J$3:$J$102,MATCH($H80,$A$3:$A$102,0)),"")&lt;&gt;"完了",IFERROR(INDEX($C$3:$C$102,MATCH($H80,$A$3:$A$102,0)),""),""))))</f>
        <v/>
      </c>
      <c r="S80" s="22" t="str">
        <f aca="false">IF($A80="","",IF($J80&lt;&gt;"完了",1,0))</f>
        <v/>
      </c>
    </row>
    <row r="81" customFormat="false" ht="15" hidden="false" customHeight="false" outlineLevel="0" collapsed="false">
      <c r="A81" s="16"/>
      <c r="B81" s="16"/>
      <c r="C81" s="16"/>
      <c r="D81" s="16"/>
      <c r="E81" s="16"/>
      <c r="F81" s="16"/>
      <c r="G81" s="16"/>
      <c r="H81" s="16"/>
      <c r="I81" s="21"/>
      <c r="J81" s="16"/>
      <c r="K81" s="9" t="str">
        <f aca="false">IF($A81="","",IF(AND($F81="",$G81="",$H81=""),設定!$B$2,MAX(IF($F81="",0,IFERROR(WORKDAY(INDEX($L$3:$L$80,MATCH($F81,$A$3:$A$80,0)),1),0)),IF($G81="",0,IFERROR(WORKDAY(INDEX($L$3:$L$80,MATCH($G81,$A$3:$A$80,0)),1),0)),IF($H81="",0,IFERROR(WORKDAY(INDEX($L$3:$L$80,MATCH($H81,$A$3:$A$80,0)),1),0)))))</f>
        <v/>
      </c>
      <c r="L81" s="9" t="str">
        <f aca="false">IF($A81="","",WORKDAY($K81,$I81-1))</f>
        <v/>
      </c>
      <c r="M81" s="9" t="str">
        <f aca="false">IF($A81="","",WORKDAY($N81,-($I81-1)))</f>
        <v/>
      </c>
      <c r="N81" s="9" t="str">
        <f aca="false">IF($A81="","",IF(COUNTIF($F$82:$F$102,$A81)+COUNTIF($G$82:$G$102,$A81)+COUNTIF($H$82:$H$102,$A81)=0,設定!$B$3,MIN(IF(COUNTIF($F$82:$F$102,$A81)=0,999999,IFERROR(WORKDAY(_xlfn.MINIFS($M$82:$M$102,$F$82:$F$102,$A81),-1),999999)),IF(COUNTIF($G$82:$G$102,$A81)=0,999999,IFERROR(WORKDAY(_xlfn.MINIFS($M$82:$M$102,$G$82:$G$102,$A81),-1),999999)),IF(COUNTIF($H$82:$H$102,$A81)=0,999999,IFERROR(WORKDAY(_xlfn.MINIFS($M$82:$M$102,$H$82:$H$102,$A81),-1),999999)))))</f>
        <v/>
      </c>
      <c r="O81" s="22" t="str">
        <f aca="false">IF($A81="","",NETWORKDAYS($K81,$M81)-1)</f>
        <v/>
      </c>
      <c r="P81" s="22" t="str">
        <f aca="false">IF($A81="","",IF($O81&lt;=0,"クリティカル",""))</f>
        <v/>
      </c>
      <c r="Q81" s="22" t="str">
        <f aca="true">IF($A81="","",IF(AND($J81&lt;&gt;"完了",TODAY()&gt;$L81),"遅延",""))</f>
        <v/>
      </c>
      <c r="R81" s="22" t="str">
        <f aca="false">IF($A81="","",_xlfn.TEXTJOIN(", ",TRUE(),IF($F81="","",IF(IFERROR(INDEX($J$3:$J$102,MATCH($F81,$A$3:$A$102,0)),"")&lt;&gt;"完了",IFERROR(INDEX($C$3:$C$102,MATCH($F81,$A$3:$A$102,0)),""),"")),IF($G81="","",IF(IFERROR(INDEX($J$3:$J$102,MATCH($G81,$A$3:$A$102,0)),"")&lt;&gt;"完了",IFERROR(INDEX($C$3:$C$102,MATCH($G81,$A$3:$A$102,0)),""),"")),IF($H81="","",IF(IFERROR(INDEX($J$3:$J$102,MATCH($H81,$A$3:$A$102,0)),"")&lt;&gt;"完了",IFERROR(INDEX($C$3:$C$102,MATCH($H81,$A$3:$A$102,0)),""),""))))</f>
        <v/>
      </c>
      <c r="S81" s="22" t="str">
        <f aca="false">IF($A81="","",IF($J81&lt;&gt;"完了",1,0))</f>
        <v/>
      </c>
    </row>
    <row r="82" customFormat="false" ht="15" hidden="false" customHeight="false" outlineLevel="0" collapsed="false">
      <c r="A82" s="16"/>
      <c r="B82" s="16"/>
      <c r="C82" s="16"/>
      <c r="D82" s="16"/>
      <c r="E82" s="16"/>
      <c r="F82" s="16"/>
      <c r="G82" s="16"/>
      <c r="H82" s="16"/>
      <c r="I82" s="21"/>
      <c r="J82" s="16"/>
      <c r="K82" s="9" t="str">
        <f aca="false">IF($A82="","",IF(AND($F82="",$G82="",$H82=""),設定!$B$2,MAX(IF($F82="",0,IFERROR(WORKDAY(INDEX($L$3:$L$81,MATCH($F82,$A$3:$A$81,0)),1),0)),IF($G82="",0,IFERROR(WORKDAY(INDEX($L$3:$L$81,MATCH($G82,$A$3:$A$81,0)),1),0)),IF($H82="",0,IFERROR(WORKDAY(INDEX($L$3:$L$81,MATCH($H82,$A$3:$A$81,0)),1),0)))))</f>
        <v/>
      </c>
      <c r="L82" s="9" t="str">
        <f aca="false">IF($A82="","",WORKDAY($K82,$I82-1))</f>
        <v/>
      </c>
      <c r="M82" s="9" t="str">
        <f aca="false">IF($A82="","",WORKDAY($N82,-($I82-1)))</f>
        <v/>
      </c>
      <c r="N82" s="9" t="str">
        <f aca="false">IF($A82="","",IF(COUNTIF($F$83:$F$102,$A82)+COUNTIF($G$83:$G$102,$A82)+COUNTIF($H$83:$H$102,$A82)=0,設定!$B$3,MIN(IF(COUNTIF($F$83:$F$102,$A82)=0,999999,IFERROR(WORKDAY(_xlfn.MINIFS($M$83:$M$102,$F$83:$F$102,$A82),-1),999999)),IF(COUNTIF($G$83:$G$102,$A82)=0,999999,IFERROR(WORKDAY(_xlfn.MINIFS($M$83:$M$102,$G$83:$G$102,$A82),-1),999999)),IF(COUNTIF($H$83:$H$102,$A82)=0,999999,IFERROR(WORKDAY(_xlfn.MINIFS($M$83:$M$102,$H$83:$H$102,$A82),-1),999999)))))</f>
        <v/>
      </c>
      <c r="O82" s="22" t="str">
        <f aca="false">IF($A82="","",NETWORKDAYS($K82,$M82)-1)</f>
        <v/>
      </c>
      <c r="P82" s="22" t="str">
        <f aca="false">IF($A82="","",IF($O82&lt;=0,"クリティカル",""))</f>
        <v/>
      </c>
      <c r="Q82" s="22" t="str">
        <f aca="true">IF($A82="","",IF(AND($J82&lt;&gt;"完了",TODAY()&gt;$L82),"遅延",""))</f>
        <v/>
      </c>
      <c r="R82" s="22" t="str">
        <f aca="false">IF($A82="","",_xlfn.TEXTJOIN(", ",TRUE(),IF($F82="","",IF(IFERROR(INDEX($J$3:$J$102,MATCH($F82,$A$3:$A$102,0)),"")&lt;&gt;"完了",IFERROR(INDEX($C$3:$C$102,MATCH($F82,$A$3:$A$102,0)),""),"")),IF($G82="","",IF(IFERROR(INDEX($J$3:$J$102,MATCH($G82,$A$3:$A$102,0)),"")&lt;&gt;"完了",IFERROR(INDEX($C$3:$C$102,MATCH($G82,$A$3:$A$102,0)),""),"")),IF($H82="","",IF(IFERROR(INDEX($J$3:$J$102,MATCH($H82,$A$3:$A$102,0)),"")&lt;&gt;"完了",IFERROR(INDEX($C$3:$C$102,MATCH($H82,$A$3:$A$102,0)),""),""))))</f>
        <v/>
      </c>
      <c r="S82" s="22" t="str">
        <f aca="false">IF($A82="","",IF($J82&lt;&gt;"完了",1,0))</f>
        <v/>
      </c>
    </row>
    <row r="83" customFormat="false" ht="15" hidden="false" customHeight="false" outlineLevel="0" collapsed="false">
      <c r="A83" s="16"/>
      <c r="B83" s="16"/>
      <c r="C83" s="16"/>
      <c r="D83" s="16"/>
      <c r="E83" s="16"/>
      <c r="F83" s="16"/>
      <c r="G83" s="16"/>
      <c r="H83" s="16"/>
      <c r="I83" s="21"/>
      <c r="J83" s="16"/>
      <c r="K83" s="9" t="str">
        <f aca="false">IF($A83="","",IF(AND($F83="",$G83="",$H83=""),設定!$B$2,MAX(IF($F83="",0,IFERROR(WORKDAY(INDEX($L$3:$L$82,MATCH($F83,$A$3:$A$82,0)),1),0)),IF($G83="",0,IFERROR(WORKDAY(INDEX($L$3:$L$82,MATCH($G83,$A$3:$A$82,0)),1),0)),IF($H83="",0,IFERROR(WORKDAY(INDEX($L$3:$L$82,MATCH($H83,$A$3:$A$82,0)),1),0)))))</f>
        <v/>
      </c>
      <c r="L83" s="9" t="str">
        <f aca="false">IF($A83="","",WORKDAY($K83,$I83-1))</f>
        <v/>
      </c>
      <c r="M83" s="9" t="str">
        <f aca="false">IF($A83="","",WORKDAY($N83,-($I83-1)))</f>
        <v/>
      </c>
      <c r="N83" s="9" t="str">
        <f aca="false">IF($A83="","",IF(COUNTIF($F$84:$F$102,$A83)+COUNTIF($G$84:$G$102,$A83)+COUNTIF($H$84:$H$102,$A83)=0,設定!$B$3,MIN(IF(COUNTIF($F$84:$F$102,$A83)=0,999999,IFERROR(WORKDAY(_xlfn.MINIFS($M$84:$M$102,$F$84:$F$102,$A83),-1),999999)),IF(COUNTIF($G$84:$G$102,$A83)=0,999999,IFERROR(WORKDAY(_xlfn.MINIFS($M$84:$M$102,$G$84:$G$102,$A83),-1),999999)),IF(COUNTIF($H$84:$H$102,$A83)=0,999999,IFERROR(WORKDAY(_xlfn.MINIFS($M$84:$M$102,$H$84:$H$102,$A83),-1),999999)))))</f>
        <v/>
      </c>
      <c r="O83" s="22" t="str">
        <f aca="false">IF($A83="","",NETWORKDAYS($K83,$M83)-1)</f>
        <v/>
      </c>
      <c r="P83" s="22" t="str">
        <f aca="false">IF($A83="","",IF($O83&lt;=0,"クリティカル",""))</f>
        <v/>
      </c>
      <c r="Q83" s="22" t="str">
        <f aca="true">IF($A83="","",IF(AND($J83&lt;&gt;"完了",TODAY()&gt;$L83),"遅延",""))</f>
        <v/>
      </c>
      <c r="R83" s="22" t="str">
        <f aca="false">IF($A83="","",_xlfn.TEXTJOIN(", ",TRUE(),IF($F83="","",IF(IFERROR(INDEX($J$3:$J$102,MATCH($F83,$A$3:$A$102,0)),"")&lt;&gt;"完了",IFERROR(INDEX($C$3:$C$102,MATCH($F83,$A$3:$A$102,0)),""),"")),IF($G83="","",IF(IFERROR(INDEX($J$3:$J$102,MATCH($G83,$A$3:$A$102,0)),"")&lt;&gt;"完了",IFERROR(INDEX($C$3:$C$102,MATCH($G83,$A$3:$A$102,0)),""),"")),IF($H83="","",IF(IFERROR(INDEX($J$3:$J$102,MATCH($H83,$A$3:$A$102,0)),"")&lt;&gt;"完了",IFERROR(INDEX($C$3:$C$102,MATCH($H83,$A$3:$A$102,0)),""),""))))</f>
        <v/>
      </c>
      <c r="S83" s="22" t="str">
        <f aca="false">IF($A83="","",IF($J83&lt;&gt;"完了",1,0))</f>
        <v/>
      </c>
    </row>
    <row r="84" customFormat="false" ht="15" hidden="false" customHeight="false" outlineLevel="0" collapsed="false">
      <c r="A84" s="16"/>
      <c r="B84" s="16"/>
      <c r="C84" s="16"/>
      <c r="D84" s="16"/>
      <c r="E84" s="16"/>
      <c r="F84" s="16"/>
      <c r="G84" s="16"/>
      <c r="H84" s="16"/>
      <c r="I84" s="21"/>
      <c r="J84" s="16"/>
      <c r="K84" s="9" t="str">
        <f aca="false">IF($A84="","",IF(AND($F84="",$G84="",$H84=""),設定!$B$2,MAX(IF($F84="",0,IFERROR(WORKDAY(INDEX($L$3:$L$83,MATCH($F84,$A$3:$A$83,0)),1),0)),IF($G84="",0,IFERROR(WORKDAY(INDEX($L$3:$L$83,MATCH($G84,$A$3:$A$83,0)),1),0)),IF($H84="",0,IFERROR(WORKDAY(INDEX($L$3:$L$83,MATCH($H84,$A$3:$A$83,0)),1),0)))))</f>
        <v/>
      </c>
      <c r="L84" s="9" t="str">
        <f aca="false">IF($A84="","",WORKDAY($K84,$I84-1))</f>
        <v/>
      </c>
      <c r="M84" s="9" t="str">
        <f aca="false">IF($A84="","",WORKDAY($N84,-($I84-1)))</f>
        <v/>
      </c>
      <c r="N84" s="9" t="str">
        <f aca="false">IF($A84="","",IF(COUNTIF($F$85:$F$102,$A84)+COUNTIF($G$85:$G$102,$A84)+COUNTIF($H$85:$H$102,$A84)=0,設定!$B$3,MIN(IF(COUNTIF($F$85:$F$102,$A84)=0,999999,IFERROR(WORKDAY(_xlfn.MINIFS($M$85:$M$102,$F$85:$F$102,$A84),-1),999999)),IF(COUNTIF($G$85:$G$102,$A84)=0,999999,IFERROR(WORKDAY(_xlfn.MINIFS($M$85:$M$102,$G$85:$G$102,$A84),-1),999999)),IF(COUNTIF($H$85:$H$102,$A84)=0,999999,IFERROR(WORKDAY(_xlfn.MINIFS($M$85:$M$102,$H$85:$H$102,$A84),-1),999999)))))</f>
        <v/>
      </c>
      <c r="O84" s="22" t="str">
        <f aca="false">IF($A84="","",NETWORKDAYS($K84,$M84)-1)</f>
        <v/>
      </c>
      <c r="P84" s="22" t="str">
        <f aca="false">IF($A84="","",IF($O84&lt;=0,"クリティカル",""))</f>
        <v/>
      </c>
      <c r="Q84" s="22" t="str">
        <f aca="true">IF($A84="","",IF(AND($J84&lt;&gt;"完了",TODAY()&gt;$L84),"遅延",""))</f>
        <v/>
      </c>
      <c r="R84" s="22" t="str">
        <f aca="false">IF($A84="","",_xlfn.TEXTJOIN(", ",TRUE(),IF($F84="","",IF(IFERROR(INDEX($J$3:$J$102,MATCH($F84,$A$3:$A$102,0)),"")&lt;&gt;"完了",IFERROR(INDEX($C$3:$C$102,MATCH($F84,$A$3:$A$102,0)),""),"")),IF($G84="","",IF(IFERROR(INDEX($J$3:$J$102,MATCH($G84,$A$3:$A$102,0)),"")&lt;&gt;"完了",IFERROR(INDEX($C$3:$C$102,MATCH($G84,$A$3:$A$102,0)),""),"")),IF($H84="","",IF(IFERROR(INDEX($J$3:$J$102,MATCH($H84,$A$3:$A$102,0)),"")&lt;&gt;"完了",IFERROR(INDEX($C$3:$C$102,MATCH($H84,$A$3:$A$102,0)),""),""))))</f>
        <v/>
      </c>
      <c r="S84" s="22" t="str">
        <f aca="false">IF($A84="","",IF($J84&lt;&gt;"完了",1,0))</f>
        <v/>
      </c>
    </row>
    <row r="85" customFormat="false" ht="15" hidden="false" customHeight="false" outlineLevel="0" collapsed="false">
      <c r="A85" s="16"/>
      <c r="B85" s="16"/>
      <c r="C85" s="16"/>
      <c r="D85" s="16"/>
      <c r="E85" s="16"/>
      <c r="F85" s="16"/>
      <c r="G85" s="16"/>
      <c r="H85" s="16"/>
      <c r="I85" s="21"/>
      <c r="J85" s="16"/>
      <c r="K85" s="9" t="str">
        <f aca="false">IF($A85="","",IF(AND($F85="",$G85="",$H85=""),設定!$B$2,MAX(IF($F85="",0,IFERROR(WORKDAY(INDEX($L$3:$L$84,MATCH($F85,$A$3:$A$84,0)),1),0)),IF($G85="",0,IFERROR(WORKDAY(INDEX($L$3:$L$84,MATCH($G85,$A$3:$A$84,0)),1),0)),IF($H85="",0,IFERROR(WORKDAY(INDEX($L$3:$L$84,MATCH($H85,$A$3:$A$84,0)),1),0)))))</f>
        <v/>
      </c>
      <c r="L85" s="9" t="str">
        <f aca="false">IF($A85="","",WORKDAY($K85,$I85-1))</f>
        <v/>
      </c>
      <c r="M85" s="9" t="str">
        <f aca="false">IF($A85="","",WORKDAY($N85,-($I85-1)))</f>
        <v/>
      </c>
      <c r="N85" s="9" t="str">
        <f aca="false">IF($A85="","",IF(COUNTIF($F$86:$F$102,$A85)+COUNTIF($G$86:$G$102,$A85)+COUNTIF($H$86:$H$102,$A85)=0,設定!$B$3,MIN(IF(COUNTIF($F$86:$F$102,$A85)=0,999999,IFERROR(WORKDAY(_xlfn.MINIFS($M$86:$M$102,$F$86:$F$102,$A85),-1),999999)),IF(COUNTIF($G$86:$G$102,$A85)=0,999999,IFERROR(WORKDAY(_xlfn.MINIFS($M$86:$M$102,$G$86:$G$102,$A85),-1),999999)),IF(COUNTIF($H$86:$H$102,$A85)=0,999999,IFERROR(WORKDAY(_xlfn.MINIFS($M$86:$M$102,$H$86:$H$102,$A85),-1),999999)))))</f>
        <v/>
      </c>
      <c r="O85" s="22" t="str">
        <f aca="false">IF($A85="","",NETWORKDAYS($K85,$M85)-1)</f>
        <v/>
      </c>
      <c r="P85" s="22" t="str">
        <f aca="false">IF($A85="","",IF($O85&lt;=0,"クリティカル",""))</f>
        <v/>
      </c>
      <c r="Q85" s="22" t="str">
        <f aca="true">IF($A85="","",IF(AND($J85&lt;&gt;"完了",TODAY()&gt;$L85),"遅延",""))</f>
        <v/>
      </c>
      <c r="R85" s="22" t="str">
        <f aca="false">IF($A85="","",_xlfn.TEXTJOIN(", ",TRUE(),IF($F85="","",IF(IFERROR(INDEX($J$3:$J$102,MATCH($F85,$A$3:$A$102,0)),"")&lt;&gt;"完了",IFERROR(INDEX($C$3:$C$102,MATCH($F85,$A$3:$A$102,0)),""),"")),IF($G85="","",IF(IFERROR(INDEX($J$3:$J$102,MATCH($G85,$A$3:$A$102,0)),"")&lt;&gt;"完了",IFERROR(INDEX($C$3:$C$102,MATCH($G85,$A$3:$A$102,0)),""),"")),IF($H85="","",IF(IFERROR(INDEX($J$3:$J$102,MATCH($H85,$A$3:$A$102,0)),"")&lt;&gt;"完了",IFERROR(INDEX($C$3:$C$102,MATCH($H85,$A$3:$A$102,0)),""),""))))</f>
        <v/>
      </c>
      <c r="S85" s="22" t="str">
        <f aca="false">IF($A85="","",IF($J85&lt;&gt;"完了",1,0))</f>
        <v/>
      </c>
    </row>
    <row r="86" customFormat="false" ht="15" hidden="false" customHeight="false" outlineLevel="0" collapsed="false">
      <c r="A86" s="16"/>
      <c r="B86" s="16"/>
      <c r="C86" s="16"/>
      <c r="D86" s="16"/>
      <c r="E86" s="16"/>
      <c r="F86" s="16"/>
      <c r="G86" s="16"/>
      <c r="H86" s="16"/>
      <c r="I86" s="21"/>
      <c r="J86" s="16"/>
      <c r="K86" s="9" t="str">
        <f aca="false">IF($A86="","",IF(AND($F86="",$G86="",$H86=""),設定!$B$2,MAX(IF($F86="",0,IFERROR(WORKDAY(INDEX($L$3:$L$85,MATCH($F86,$A$3:$A$85,0)),1),0)),IF($G86="",0,IFERROR(WORKDAY(INDEX($L$3:$L$85,MATCH($G86,$A$3:$A$85,0)),1),0)),IF($H86="",0,IFERROR(WORKDAY(INDEX($L$3:$L$85,MATCH($H86,$A$3:$A$85,0)),1),0)))))</f>
        <v/>
      </c>
      <c r="L86" s="9" t="str">
        <f aca="false">IF($A86="","",WORKDAY($K86,$I86-1))</f>
        <v/>
      </c>
      <c r="M86" s="9" t="str">
        <f aca="false">IF($A86="","",WORKDAY($N86,-($I86-1)))</f>
        <v/>
      </c>
      <c r="N86" s="9" t="str">
        <f aca="false">IF($A86="","",IF(COUNTIF($F$87:$F$102,$A86)+COUNTIF($G$87:$G$102,$A86)+COUNTIF($H$87:$H$102,$A86)=0,設定!$B$3,MIN(IF(COUNTIF($F$87:$F$102,$A86)=0,999999,IFERROR(WORKDAY(_xlfn.MINIFS($M$87:$M$102,$F$87:$F$102,$A86),-1),999999)),IF(COUNTIF($G$87:$G$102,$A86)=0,999999,IFERROR(WORKDAY(_xlfn.MINIFS($M$87:$M$102,$G$87:$G$102,$A86),-1),999999)),IF(COUNTIF($H$87:$H$102,$A86)=0,999999,IFERROR(WORKDAY(_xlfn.MINIFS($M$87:$M$102,$H$87:$H$102,$A86),-1),999999)))))</f>
        <v/>
      </c>
      <c r="O86" s="22" t="str">
        <f aca="false">IF($A86="","",NETWORKDAYS($K86,$M86)-1)</f>
        <v/>
      </c>
      <c r="P86" s="22" t="str">
        <f aca="false">IF($A86="","",IF($O86&lt;=0,"クリティカル",""))</f>
        <v/>
      </c>
      <c r="Q86" s="22" t="str">
        <f aca="true">IF($A86="","",IF(AND($J86&lt;&gt;"完了",TODAY()&gt;$L86),"遅延",""))</f>
        <v/>
      </c>
      <c r="R86" s="22" t="str">
        <f aca="false">IF($A86="","",_xlfn.TEXTJOIN(", ",TRUE(),IF($F86="","",IF(IFERROR(INDEX($J$3:$J$102,MATCH($F86,$A$3:$A$102,0)),"")&lt;&gt;"完了",IFERROR(INDEX($C$3:$C$102,MATCH($F86,$A$3:$A$102,0)),""),"")),IF($G86="","",IF(IFERROR(INDEX($J$3:$J$102,MATCH($G86,$A$3:$A$102,0)),"")&lt;&gt;"完了",IFERROR(INDEX($C$3:$C$102,MATCH($G86,$A$3:$A$102,0)),""),"")),IF($H86="","",IF(IFERROR(INDEX($J$3:$J$102,MATCH($H86,$A$3:$A$102,0)),"")&lt;&gt;"完了",IFERROR(INDEX($C$3:$C$102,MATCH($H86,$A$3:$A$102,0)),""),""))))</f>
        <v/>
      </c>
      <c r="S86" s="22" t="str">
        <f aca="false">IF($A86="","",IF($J86&lt;&gt;"完了",1,0))</f>
        <v/>
      </c>
    </row>
    <row r="87" customFormat="false" ht="15" hidden="false" customHeight="false" outlineLevel="0" collapsed="false">
      <c r="A87" s="16"/>
      <c r="B87" s="16"/>
      <c r="C87" s="16"/>
      <c r="D87" s="16"/>
      <c r="E87" s="16"/>
      <c r="F87" s="16"/>
      <c r="G87" s="16"/>
      <c r="H87" s="16"/>
      <c r="I87" s="21"/>
      <c r="J87" s="16"/>
      <c r="K87" s="9" t="str">
        <f aca="false">IF($A87="","",IF(AND($F87="",$G87="",$H87=""),設定!$B$2,MAX(IF($F87="",0,IFERROR(WORKDAY(INDEX($L$3:$L$86,MATCH($F87,$A$3:$A$86,0)),1),0)),IF($G87="",0,IFERROR(WORKDAY(INDEX($L$3:$L$86,MATCH($G87,$A$3:$A$86,0)),1),0)),IF($H87="",0,IFERROR(WORKDAY(INDEX($L$3:$L$86,MATCH($H87,$A$3:$A$86,0)),1),0)))))</f>
        <v/>
      </c>
      <c r="L87" s="9" t="str">
        <f aca="false">IF($A87="","",WORKDAY($K87,$I87-1))</f>
        <v/>
      </c>
      <c r="M87" s="9" t="str">
        <f aca="false">IF($A87="","",WORKDAY($N87,-($I87-1)))</f>
        <v/>
      </c>
      <c r="N87" s="9" t="str">
        <f aca="false">IF($A87="","",IF(COUNTIF($F$88:$F$102,$A87)+COUNTIF($G$88:$G$102,$A87)+COUNTIF($H$88:$H$102,$A87)=0,設定!$B$3,MIN(IF(COUNTIF($F$88:$F$102,$A87)=0,999999,IFERROR(WORKDAY(_xlfn.MINIFS($M$88:$M$102,$F$88:$F$102,$A87),-1),999999)),IF(COUNTIF($G$88:$G$102,$A87)=0,999999,IFERROR(WORKDAY(_xlfn.MINIFS($M$88:$M$102,$G$88:$G$102,$A87),-1),999999)),IF(COUNTIF($H$88:$H$102,$A87)=0,999999,IFERROR(WORKDAY(_xlfn.MINIFS($M$88:$M$102,$H$88:$H$102,$A87),-1),999999)))))</f>
        <v/>
      </c>
      <c r="O87" s="22" t="str">
        <f aca="false">IF($A87="","",NETWORKDAYS($K87,$M87)-1)</f>
        <v/>
      </c>
      <c r="P87" s="22" t="str">
        <f aca="false">IF($A87="","",IF($O87&lt;=0,"クリティカル",""))</f>
        <v/>
      </c>
      <c r="Q87" s="22" t="str">
        <f aca="true">IF($A87="","",IF(AND($J87&lt;&gt;"完了",TODAY()&gt;$L87),"遅延",""))</f>
        <v/>
      </c>
      <c r="R87" s="22" t="str">
        <f aca="false">IF($A87="","",_xlfn.TEXTJOIN(", ",TRUE(),IF($F87="","",IF(IFERROR(INDEX($J$3:$J$102,MATCH($F87,$A$3:$A$102,0)),"")&lt;&gt;"完了",IFERROR(INDEX($C$3:$C$102,MATCH($F87,$A$3:$A$102,0)),""),"")),IF($G87="","",IF(IFERROR(INDEX($J$3:$J$102,MATCH($G87,$A$3:$A$102,0)),"")&lt;&gt;"完了",IFERROR(INDEX($C$3:$C$102,MATCH($G87,$A$3:$A$102,0)),""),"")),IF($H87="","",IF(IFERROR(INDEX($J$3:$J$102,MATCH($H87,$A$3:$A$102,0)),"")&lt;&gt;"完了",IFERROR(INDEX($C$3:$C$102,MATCH($H87,$A$3:$A$102,0)),""),""))))</f>
        <v/>
      </c>
      <c r="S87" s="22" t="str">
        <f aca="false">IF($A87="","",IF($J87&lt;&gt;"完了",1,0))</f>
        <v/>
      </c>
    </row>
    <row r="88" customFormat="false" ht="15" hidden="false" customHeight="false" outlineLevel="0" collapsed="false">
      <c r="A88" s="16"/>
      <c r="B88" s="16"/>
      <c r="C88" s="16"/>
      <c r="D88" s="16"/>
      <c r="E88" s="16"/>
      <c r="F88" s="16"/>
      <c r="G88" s="16"/>
      <c r="H88" s="16"/>
      <c r="I88" s="21"/>
      <c r="J88" s="16"/>
      <c r="K88" s="9" t="str">
        <f aca="false">IF($A88="","",IF(AND($F88="",$G88="",$H88=""),設定!$B$2,MAX(IF($F88="",0,IFERROR(WORKDAY(INDEX($L$3:$L$87,MATCH($F88,$A$3:$A$87,0)),1),0)),IF($G88="",0,IFERROR(WORKDAY(INDEX($L$3:$L$87,MATCH($G88,$A$3:$A$87,0)),1),0)),IF($H88="",0,IFERROR(WORKDAY(INDEX($L$3:$L$87,MATCH($H88,$A$3:$A$87,0)),1),0)))))</f>
        <v/>
      </c>
      <c r="L88" s="9" t="str">
        <f aca="false">IF($A88="","",WORKDAY($K88,$I88-1))</f>
        <v/>
      </c>
      <c r="M88" s="9" t="str">
        <f aca="false">IF($A88="","",WORKDAY($N88,-($I88-1)))</f>
        <v/>
      </c>
      <c r="N88" s="9" t="str">
        <f aca="false">IF($A88="","",IF(COUNTIF($F$89:$F$102,$A88)+COUNTIF($G$89:$G$102,$A88)+COUNTIF($H$89:$H$102,$A88)=0,設定!$B$3,MIN(IF(COUNTIF($F$89:$F$102,$A88)=0,999999,IFERROR(WORKDAY(_xlfn.MINIFS($M$89:$M$102,$F$89:$F$102,$A88),-1),999999)),IF(COUNTIF($G$89:$G$102,$A88)=0,999999,IFERROR(WORKDAY(_xlfn.MINIFS($M$89:$M$102,$G$89:$G$102,$A88),-1),999999)),IF(COUNTIF($H$89:$H$102,$A88)=0,999999,IFERROR(WORKDAY(_xlfn.MINIFS($M$89:$M$102,$H$89:$H$102,$A88),-1),999999)))))</f>
        <v/>
      </c>
      <c r="O88" s="22" t="str">
        <f aca="false">IF($A88="","",NETWORKDAYS($K88,$M88)-1)</f>
        <v/>
      </c>
      <c r="P88" s="22" t="str">
        <f aca="false">IF($A88="","",IF($O88&lt;=0,"クリティカル",""))</f>
        <v/>
      </c>
      <c r="Q88" s="22" t="str">
        <f aca="true">IF($A88="","",IF(AND($J88&lt;&gt;"完了",TODAY()&gt;$L88),"遅延",""))</f>
        <v/>
      </c>
      <c r="R88" s="22" t="str">
        <f aca="false">IF($A88="","",_xlfn.TEXTJOIN(", ",TRUE(),IF($F88="","",IF(IFERROR(INDEX($J$3:$J$102,MATCH($F88,$A$3:$A$102,0)),"")&lt;&gt;"完了",IFERROR(INDEX($C$3:$C$102,MATCH($F88,$A$3:$A$102,0)),""),"")),IF($G88="","",IF(IFERROR(INDEX($J$3:$J$102,MATCH($G88,$A$3:$A$102,0)),"")&lt;&gt;"完了",IFERROR(INDEX($C$3:$C$102,MATCH($G88,$A$3:$A$102,0)),""),"")),IF($H88="","",IF(IFERROR(INDEX($J$3:$J$102,MATCH($H88,$A$3:$A$102,0)),"")&lt;&gt;"完了",IFERROR(INDEX($C$3:$C$102,MATCH($H88,$A$3:$A$102,0)),""),""))))</f>
        <v/>
      </c>
      <c r="S88" s="22" t="str">
        <f aca="false">IF($A88="","",IF($J88&lt;&gt;"完了",1,0))</f>
        <v/>
      </c>
    </row>
    <row r="89" customFormat="false" ht="15" hidden="false" customHeight="false" outlineLevel="0" collapsed="false">
      <c r="A89" s="16"/>
      <c r="B89" s="16"/>
      <c r="C89" s="16"/>
      <c r="D89" s="16"/>
      <c r="E89" s="16"/>
      <c r="F89" s="16"/>
      <c r="G89" s="16"/>
      <c r="H89" s="16"/>
      <c r="I89" s="21"/>
      <c r="J89" s="16"/>
      <c r="K89" s="9" t="str">
        <f aca="false">IF($A89="","",IF(AND($F89="",$G89="",$H89=""),設定!$B$2,MAX(IF($F89="",0,IFERROR(WORKDAY(INDEX($L$3:$L$88,MATCH($F89,$A$3:$A$88,0)),1),0)),IF($G89="",0,IFERROR(WORKDAY(INDEX($L$3:$L$88,MATCH($G89,$A$3:$A$88,0)),1),0)),IF($H89="",0,IFERROR(WORKDAY(INDEX($L$3:$L$88,MATCH($H89,$A$3:$A$88,0)),1),0)))))</f>
        <v/>
      </c>
      <c r="L89" s="9" t="str">
        <f aca="false">IF($A89="","",WORKDAY($K89,$I89-1))</f>
        <v/>
      </c>
      <c r="M89" s="9" t="str">
        <f aca="false">IF($A89="","",WORKDAY($N89,-($I89-1)))</f>
        <v/>
      </c>
      <c r="N89" s="9" t="str">
        <f aca="false">IF($A89="","",IF(COUNTIF($F$90:$F$102,$A89)+COUNTIF($G$90:$G$102,$A89)+COUNTIF($H$90:$H$102,$A89)=0,設定!$B$3,MIN(IF(COUNTIF($F$90:$F$102,$A89)=0,999999,IFERROR(WORKDAY(_xlfn.MINIFS($M$90:$M$102,$F$90:$F$102,$A89),-1),999999)),IF(COUNTIF($G$90:$G$102,$A89)=0,999999,IFERROR(WORKDAY(_xlfn.MINIFS($M$90:$M$102,$G$90:$G$102,$A89),-1),999999)),IF(COUNTIF($H$90:$H$102,$A89)=0,999999,IFERROR(WORKDAY(_xlfn.MINIFS($M$90:$M$102,$H$90:$H$102,$A89),-1),999999)))))</f>
        <v/>
      </c>
      <c r="O89" s="22" t="str">
        <f aca="false">IF($A89="","",NETWORKDAYS($K89,$M89)-1)</f>
        <v/>
      </c>
      <c r="P89" s="22" t="str">
        <f aca="false">IF($A89="","",IF($O89&lt;=0,"クリティカル",""))</f>
        <v/>
      </c>
      <c r="Q89" s="22" t="str">
        <f aca="true">IF($A89="","",IF(AND($J89&lt;&gt;"完了",TODAY()&gt;$L89),"遅延",""))</f>
        <v/>
      </c>
      <c r="R89" s="22" t="str">
        <f aca="false">IF($A89="","",_xlfn.TEXTJOIN(", ",TRUE(),IF($F89="","",IF(IFERROR(INDEX($J$3:$J$102,MATCH($F89,$A$3:$A$102,0)),"")&lt;&gt;"完了",IFERROR(INDEX($C$3:$C$102,MATCH($F89,$A$3:$A$102,0)),""),"")),IF($G89="","",IF(IFERROR(INDEX($J$3:$J$102,MATCH($G89,$A$3:$A$102,0)),"")&lt;&gt;"完了",IFERROR(INDEX($C$3:$C$102,MATCH($G89,$A$3:$A$102,0)),""),"")),IF($H89="","",IF(IFERROR(INDEX($J$3:$J$102,MATCH($H89,$A$3:$A$102,0)),"")&lt;&gt;"完了",IFERROR(INDEX($C$3:$C$102,MATCH($H89,$A$3:$A$102,0)),""),""))))</f>
        <v/>
      </c>
      <c r="S89" s="22" t="str">
        <f aca="false">IF($A89="","",IF($J89&lt;&gt;"完了",1,0))</f>
        <v/>
      </c>
    </row>
    <row r="90" customFormat="false" ht="15" hidden="false" customHeight="false" outlineLevel="0" collapsed="false">
      <c r="A90" s="16"/>
      <c r="B90" s="16"/>
      <c r="C90" s="16"/>
      <c r="D90" s="16"/>
      <c r="E90" s="16"/>
      <c r="F90" s="16"/>
      <c r="G90" s="16"/>
      <c r="H90" s="16"/>
      <c r="I90" s="21"/>
      <c r="J90" s="16"/>
      <c r="K90" s="9" t="str">
        <f aca="false">IF($A90="","",IF(AND($F90="",$G90="",$H90=""),設定!$B$2,MAX(IF($F90="",0,IFERROR(WORKDAY(INDEX($L$3:$L$89,MATCH($F90,$A$3:$A$89,0)),1),0)),IF($G90="",0,IFERROR(WORKDAY(INDEX($L$3:$L$89,MATCH($G90,$A$3:$A$89,0)),1),0)),IF($H90="",0,IFERROR(WORKDAY(INDEX($L$3:$L$89,MATCH($H90,$A$3:$A$89,0)),1),0)))))</f>
        <v/>
      </c>
      <c r="L90" s="9" t="str">
        <f aca="false">IF($A90="","",WORKDAY($K90,$I90-1))</f>
        <v/>
      </c>
      <c r="M90" s="9" t="str">
        <f aca="false">IF($A90="","",WORKDAY($N90,-($I90-1)))</f>
        <v/>
      </c>
      <c r="N90" s="9" t="str">
        <f aca="false">IF($A90="","",IF(COUNTIF($F$91:$F$102,$A90)+COUNTIF($G$91:$G$102,$A90)+COUNTIF($H$91:$H$102,$A90)=0,設定!$B$3,MIN(IF(COUNTIF($F$91:$F$102,$A90)=0,999999,IFERROR(WORKDAY(_xlfn.MINIFS($M$91:$M$102,$F$91:$F$102,$A90),-1),999999)),IF(COUNTIF($G$91:$G$102,$A90)=0,999999,IFERROR(WORKDAY(_xlfn.MINIFS($M$91:$M$102,$G$91:$G$102,$A90),-1),999999)),IF(COUNTIF($H$91:$H$102,$A90)=0,999999,IFERROR(WORKDAY(_xlfn.MINIFS($M$91:$M$102,$H$91:$H$102,$A90),-1),999999)))))</f>
        <v/>
      </c>
      <c r="O90" s="22" t="str">
        <f aca="false">IF($A90="","",NETWORKDAYS($K90,$M90)-1)</f>
        <v/>
      </c>
      <c r="P90" s="22" t="str">
        <f aca="false">IF($A90="","",IF($O90&lt;=0,"クリティカル",""))</f>
        <v/>
      </c>
      <c r="Q90" s="22" t="str">
        <f aca="true">IF($A90="","",IF(AND($J90&lt;&gt;"完了",TODAY()&gt;$L90),"遅延",""))</f>
        <v/>
      </c>
      <c r="R90" s="22" t="str">
        <f aca="false">IF($A90="","",_xlfn.TEXTJOIN(", ",TRUE(),IF($F90="","",IF(IFERROR(INDEX($J$3:$J$102,MATCH($F90,$A$3:$A$102,0)),"")&lt;&gt;"完了",IFERROR(INDEX($C$3:$C$102,MATCH($F90,$A$3:$A$102,0)),""),"")),IF($G90="","",IF(IFERROR(INDEX($J$3:$J$102,MATCH($G90,$A$3:$A$102,0)),"")&lt;&gt;"完了",IFERROR(INDEX($C$3:$C$102,MATCH($G90,$A$3:$A$102,0)),""),"")),IF($H90="","",IF(IFERROR(INDEX($J$3:$J$102,MATCH($H90,$A$3:$A$102,0)),"")&lt;&gt;"完了",IFERROR(INDEX($C$3:$C$102,MATCH($H90,$A$3:$A$102,0)),""),""))))</f>
        <v/>
      </c>
      <c r="S90" s="22" t="str">
        <f aca="false">IF($A90="","",IF($J90&lt;&gt;"完了",1,0))</f>
        <v/>
      </c>
    </row>
    <row r="91" customFormat="false" ht="15" hidden="false" customHeight="false" outlineLevel="0" collapsed="false">
      <c r="A91" s="16"/>
      <c r="B91" s="16"/>
      <c r="C91" s="16"/>
      <c r="D91" s="16"/>
      <c r="E91" s="16"/>
      <c r="F91" s="16"/>
      <c r="G91" s="16"/>
      <c r="H91" s="16"/>
      <c r="I91" s="21"/>
      <c r="J91" s="16"/>
      <c r="K91" s="9" t="str">
        <f aca="false">IF($A91="","",IF(AND($F91="",$G91="",$H91=""),設定!$B$2,MAX(IF($F91="",0,IFERROR(WORKDAY(INDEX($L$3:$L$90,MATCH($F91,$A$3:$A$90,0)),1),0)),IF($G91="",0,IFERROR(WORKDAY(INDEX($L$3:$L$90,MATCH($G91,$A$3:$A$90,0)),1),0)),IF($H91="",0,IFERROR(WORKDAY(INDEX($L$3:$L$90,MATCH($H91,$A$3:$A$90,0)),1),0)))))</f>
        <v/>
      </c>
      <c r="L91" s="9" t="str">
        <f aca="false">IF($A91="","",WORKDAY($K91,$I91-1))</f>
        <v/>
      </c>
      <c r="M91" s="9" t="str">
        <f aca="false">IF($A91="","",WORKDAY($N91,-($I91-1)))</f>
        <v/>
      </c>
      <c r="N91" s="9" t="str">
        <f aca="false">IF($A91="","",IF(COUNTIF($F$92:$F$102,$A91)+COUNTIF($G$92:$G$102,$A91)+COUNTIF($H$92:$H$102,$A91)=0,設定!$B$3,MIN(IF(COUNTIF($F$92:$F$102,$A91)=0,999999,IFERROR(WORKDAY(_xlfn.MINIFS($M$92:$M$102,$F$92:$F$102,$A91),-1),999999)),IF(COUNTIF($G$92:$G$102,$A91)=0,999999,IFERROR(WORKDAY(_xlfn.MINIFS($M$92:$M$102,$G$92:$G$102,$A91),-1),999999)),IF(COUNTIF($H$92:$H$102,$A91)=0,999999,IFERROR(WORKDAY(_xlfn.MINIFS($M$92:$M$102,$H$92:$H$102,$A91),-1),999999)))))</f>
        <v/>
      </c>
      <c r="O91" s="22" t="str">
        <f aca="false">IF($A91="","",NETWORKDAYS($K91,$M91)-1)</f>
        <v/>
      </c>
      <c r="P91" s="22" t="str">
        <f aca="false">IF($A91="","",IF($O91&lt;=0,"クリティカル",""))</f>
        <v/>
      </c>
      <c r="Q91" s="22" t="str">
        <f aca="true">IF($A91="","",IF(AND($J91&lt;&gt;"完了",TODAY()&gt;$L91),"遅延",""))</f>
        <v/>
      </c>
      <c r="R91" s="22" t="str">
        <f aca="false">IF($A91="","",_xlfn.TEXTJOIN(", ",TRUE(),IF($F91="","",IF(IFERROR(INDEX($J$3:$J$102,MATCH($F91,$A$3:$A$102,0)),"")&lt;&gt;"完了",IFERROR(INDEX($C$3:$C$102,MATCH($F91,$A$3:$A$102,0)),""),"")),IF($G91="","",IF(IFERROR(INDEX($J$3:$J$102,MATCH($G91,$A$3:$A$102,0)),"")&lt;&gt;"完了",IFERROR(INDEX($C$3:$C$102,MATCH($G91,$A$3:$A$102,0)),""),"")),IF($H91="","",IF(IFERROR(INDEX($J$3:$J$102,MATCH($H91,$A$3:$A$102,0)),"")&lt;&gt;"完了",IFERROR(INDEX($C$3:$C$102,MATCH($H91,$A$3:$A$102,0)),""),""))))</f>
        <v/>
      </c>
      <c r="S91" s="22" t="str">
        <f aca="false">IF($A91="","",IF($J91&lt;&gt;"完了",1,0))</f>
        <v/>
      </c>
    </row>
    <row r="92" customFormat="false" ht="15" hidden="false" customHeight="false" outlineLevel="0" collapsed="false">
      <c r="A92" s="16"/>
      <c r="B92" s="16"/>
      <c r="C92" s="16"/>
      <c r="D92" s="16"/>
      <c r="E92" s="16"/>
      <c r="F92" s="16"/>
      <c r="G92" s="16"/>
      <c r="H92" s="16"/>
      <c r="I92" s="21"/>
      <c r="J92" s="16"/>
      <c r="K92" s="9" t="str">
        <f aca="false">IF($A92="","",IF(AND($F92="",$G92="",$H92=""),設定!$B$2,MAX(IF($F92="",0,IFERROR(WORKDAY(INDEX($L$3:$L$91,MATCH($F92,$A$3:$A$91,0)),1),0)),IF($G92="",0,IFERROR(WORKDAY(INDEX($L$3:$L$91,MATCH($G92,$A$3:$A$91,0)),1),0)),IF($H92="",0,IFERROR(WORKDAY(INDEX($L$3:$L$91,MATCH($H92,$A$3:$A$91,0)),1),0)))))</f>
        <v/>
      </c>
      <c r="L92" s="9" t="str">
        <f aca="false">IF($A92="","",WORKDAY($K92,$I92-1))</f>
        <v/>
      </c>
      <c r="M92" s="9" t="str">
        <f aca="false">IF($A92="","",WORKDAY($N92,-($I92-1)))</f>
        <v/>
      </c>
      <c r="N92" s="9" t="str">
        <f aca="false">IF($A92="","",IF(COUNTIF($F$93:$F$102,$A92)+COUNTIF($G$93:$G$102,$A92)+COUNTIF($H$93:$H$102,$A92)=0,設定!$B$3,MIN(IF(COUNTIF($F$93:$F$102,$A92)=0,999999,IFERROR(WORKDAY(_xlfn.MINIFS($M$93:$M$102,$F$93:$F$102,$A92),-1),999999)),IF(COUNTIF($G$93:$G$102,$A92)=0,999999,IFERROR(WORKDAY(_xlfn.MINIFS($M$93:$M$102,$G$93:$G$102,$A92),-1),999999)),IF(COUNTIF($H$93:$H$102,$A92)=0,999999,IFERROR(WORKDAY(_xlfn.MINIFS($M$93:$M$102,$H$93:$H$102,$A92),-1),999999)))))</f>
        <v/>
      </c>
      <c r="O92" s="22" t="str">
        <f aca="false">IF($A92="","",NETWORKDAYS($K92,$M92)-1)</f>
        <v/>
      </c>
      <c r="P92" s="22" t="str">
        <f aca="false">IF($A92="","",IF($O92&lt;=0,"クリティカル",""))</f>
        <v/>
      </c>
      <c r="Q92" s="22" t="str">
        <f aca="true">IF($A92="","",IF(AND($J92&lt;&gt;"完了",TODAY()&gt;$L92),"遅延",""))</f>
        <v/>
      </c>
      <c r="R92" s="22" t="str">
        <f aca="false">IF($A92="","",_xlfn.TEXTJOIN(", ",TRUE(),IF($F92="","",IF(IFERROR(INDEX($J$3:$J$102,MATCH($F92,$A$3:$A$102,0)),"")&lt;&gt;"完了",IFERROR(INDEX($C$3:$C$102,MATCH($F92,$A$3:$A$102,0)),""),"")),IF($G92="","",IF(IFERROR(INDEX($J$3:$J$102,MATCH($G92,$A$3:$A$102,0)),"")&lt;&gt;"完了",IFERROR(INDEX($C$3:$C$102,MATCH($G92,$A$3:$A$102,0)),""),"")),IF($H92="","",IF(IFERROR(INDEX($J$3:$J$102,MATCH($H92,$A$3:$A$102,0)),"")&lt;&gt;"完了",IFERROR(INDEX($C$3:$C$102,MATCH($H92,$A$3:$A$102,0)),""),""))))</f>
        <v/>
      </c>
      <c r="S92" s="22" t="str">
        <f aca="false">IF($A92="","",IF($J92&lt;&gt;"完了",1,0))</f>
        <v/>
      </c>
    </row>
    <row r="93" customFormat="false" ht="15" hidden="false" customHeight="false" outlineLevel="0" collapsed="false">
      <c r="A93" s="16"/>
      <c r="B93" s="16"/>
      <c r="C93" s="16"/>
      <c r="D93" s="16"/>
      <c r="E93" s="16"/>
      <c r="F93" s="16"/>
      <c r="G93" s="16"/>
      <c r="H93" s="16"/>
      <c r="I93" s="21"/>
      <c r="J93" s="16"/>
      <c r="K93" s="9" t="str">
        <f aca="false">IF($A93="","",IF(AND($F93="",$G93="",$H93=""),設定!$B$2,MAX(IF($F93="",0,IFERROR(WORKDAY(INDEX($L$3:$L$92,MATCH($F93,$A$3:$A$92,0)),1),0)),IF($G93="",0,IFERROR(WORKDAY(INDEX($L$3:$L$92,MATCH($G93,$A$3:$A$92,0)),1),0)),IF($H93="",0,IFERROR(WORKDAY(INDEX($L$3:$L$92,MATCH($H93,$A$3:$A$92,0)),1),0)))))</f>
        <v/>
      </c>
      <c r="L93" s="9" t="str">
        <f aca="false">IF($A93="","",WORKDAY($K93,$I93-1))</f>
        <v/>
      </c>
      <c r="M93" s="9" t="str">
        <f aca="false">IF($A93="","",WORKDAY($N93,-($I93-1)))</f>
        <v/>
      </c>
      <c r="N93" s="9" t="str">
        <f aca="false">IF($A93="","",IF(COUNTIF($F$94:$F$102,$A93)+COUNTIF($G$94:$G$102,$A93)+COUNTIF($H$94:$H$102,$A93)=0,設定!$B$3,MIN(IF(COUNTIF($F$94:$F$102,$A93)=0,999999,IFERROR(WORKDAY(_xlfn.MINIFS($M$94:$M$102,$F$94:$F$102,$A93),-1),999999)),IF(COUNTIF($G$94:$G$102,$A93)=0,999999,IFERROR(WORKDAY(_xlfn.MINIFS($M$94:$M$102,$G$94:$G$102,$A93),-1),999999)),IF(COUNTIF($H$94:$H$102,$A93)=0,999999,IFERROR(WORKDAY(_xlfn.MINIFS($M$94:$M$102,$H$94:$H$102,$A93),-1),999999)))))</f>
        <v/>
      </c>
      <c r="O93" s="22" t="str">
        <f aca="false">IF($A93="","",NETWORKDAYS($K93,$M93)-1)</f>
        <v/>
      </c>
      <c r="P93" s="22" t="str">
        <f aca="false">IF($A93="","",IF($O93&lt;=0,"クリティカル",""))</f>
        <v/>
      </c>
      <c r="Q93" s="22" t="str">
        <f aca="true">IF($A93="","",IF(AND($J93&lt;&gt;"完了",TODAY()&gt;$L93),"遅延",""))</f>
        <v/>
      </c>
      <c r="R93" s="22" t="str">
        <f aca="false">IF($A93="","",_xlfn.TEXTJOIN(", ",TRUE(),IF($F93="","",IF(IFERROR(INDEX($J$3:$J$102,MATCH($F93,$A$3:$A$102,0)),"")&lt;&gt;"完了",IFERROR(INDEX($C$3:$C$102,MATCH($F93,$A$3:$A$102,0)),""),"")),IF($G93="","",IF(IFERROR(INDEX($J$3:$J$102,MATCH($G93,$A$3:$A$102,0)),"")&lt;&gt;"完了",IFERROR(INDEX($C$3:$C$102,MATCH($G93,$A$3:$A$102,0)),""),"")),IF($H93="","",IF(IFERROR(INDEX($J$3:$J$102,MATCH($H93,$A$3:$A$102,0)),"")&lt;&gt;"完了",IFERROR(INDEX($C$3:$C$102,MATCH($H93,$A$3:$A$102,0)),""),""))))</f>
        <v/>
      </c>
      <c r="S93" s="22" t="str">
        <f aca="false">IF($A93="","",IF($J93&lt;&gt;"完了",1,0))</f>
        <v/>
      </c>
    </row>
    <row r="94" customFormat="false" ht="15" hidden="false" customHeight="false" outlineLevel="0" collapsed="false">
      <c r="A94" s="16"/>
      <c r="B94" s="16"/>
      <c r="C94" s="16"/>
      <c r="D94" s="16"/>
      <c r="E94" s="16"/>
      <c r="F94" s="16"/>
      <c r="G94" s="16"/>
      <c r="H94" s="16"/>
      <c r="I94" s="21"/>
      <c r="J94" s="16"/>
      <c r="K94" s="9" t="str">
        <f aca="false">IF($A94="","",IF(AND($F94="",$G94="",$H94=""),設定!$B$2,MAX(IF($F94="",0,IFERROR(WORKDAY(INDEX($L$3:$L$93,MATCH($F94,$A$3:$A$93,0)),1),0)),IF($G94="",0,IFERROR(WORKDAY(INDEX($L$3:$L$93,MATCH($G94,$A$3:$A$93,0)),1),0)),IF($H94="",0,IFERROR(WORKDAY(INDEX($L$3:$L$93,MATCH($H94,$A$3:$A$93,0)),1),0)))))</f>
        <v/>
      </c>
      <c r="L94" s="9" t="str">
        <f aca="false">IF($A94="","",WORKDAY($K94,$I94-1))</f>
        <v/>
      </c>
      <c r="M94" s="9" t="str">
        <f aca="false">IF($A94="","",WORKDAY($N94,-($I94-1)))</f>
        <v/>
      </c>
      <c r="N94" s="9" t="str">
        <f aca="false">IF($A94="","",IF(COUNTIF($F$95:$F$102,$A94)+COUNTIF($G$95:$G$102,$A94)+COUNTIF($H$95:$H$102,$A94)=0,設定!$B$3,MIN(IF(COUNTIF($F$95:$F$102,$A94)=0,999999,IFERROR(WORKDAY(_xlfn.MINIFS($M$95:$M$102,$F$95:$F$102,$A94),-1),999999)),IF(COUNTIF($G$95:$G$102,$A94)=0,999999,IFERROR(WORKDAY(_xlfn.MINIFS($M$95:$M$102,$G$95:$G$102,$A94),-1),999999)),IF(COUNTIF($H$95:$H$102,$A94)=0,999999,IFERROR(WORKDAY(_xlfn.MINIFS($M$95:$M$102,$H$95:$H$102,$A94),-1),999999)))))</f>
        <v/>
      </c>
      <c r="O94" s="22" t="str">
        <f aca="false">IF($A94="","",NETWORKDAYS($K94,$M94)-1)</f>
        <v/>
      </c>
      <c r="P94" s="22" t="str">
        <f aca="false">IF($A94="","",IF($O94&lt;=0,"クリティカル",""))</f>
        <v/>
      </c>
      <c r="Q94" s="22" t="str">
        <f aca="true">IF($A94="","",IF(AND($J94&lt;&gt;"完了",TODAY()&gt;$L94),"遅延",""))</f>
        <v/>
      </c>
      <c r="R94" s="22" t="str">
        <f aca="false">IF($A94="","",_xlfn.TEXTJOIN(", ",TRUE(),IF($F94="","",IF(IFERROR(INDEX($J$3:$J$102,MATCH($F94,$A$3:$A$102,0)),"")&lt;&gt;"完了",IFERROR(INDEX($C$3:$C$102,MATCH($F94,$A$3:$A$102,0)),""),"")),IF($G94="","",IF(IFERROR(INDEX($J$3:$J$102,MATCH($G94,$A$3:$A$102,0)),"")&lt;&gt;"完了",IFERROR(INDEX($C$3:$C$102,MATCH($G94,$A$3:$A$102,0)),""),"")),IF($H94="","",IF(IFERROR(INDEX($J$3:$J$102,MATCH($H94,$A$3:$A$102,0)),"")&lt;&gt;"完了",IFERROR(INDEX($C$3:$C$102,MATCH($H94,$A$3:$A$102,0)),""),""))))</f>
        <v/>
      </c>
      <c r="S94" s="22" t="str">
        <f aca="false">IF($A94="","",IF($J94&lt;&gt;"完了",1,0))</f>
        <v/>
      </c>
    </row>
    <row r="95" customFormat="false" ht="15" hidden="false" customHeight="false" outlineLevel="0" collapsed="false">
      <c r="A95" s="16"/>
      <c r="B95" s="16"/>
      <c r="C95" s="16"/>
      <c r="D95" s="16"/>
      <c r="E95" s="16"/>
      <c r="F95" s="16"/>
      <c r="G95" s="16"/>
      <c r="H95" s="16"/>
      <c r="I95" s="21"/>
      <c r="J95" s="16"/>
      <c r="K95" s="9" t="str">
        <f aca="false">IF($A95="","",IF(AND($F95="",$G95="",$H95=""),設定!$B$2,MAX(IF($F95="",0,IFERROR(WORKDAY(INDEX($L$3:$L$94,MATCH($F95,$A$3:$A$94,0)),1),0)),IF($G95="",0,IFERROR(WORKDAY(INDEX($L$3:$L$94,MATCH($G95,$A$3:$A$94,0)),1),0)),IF($H95="",0,IFERROR(WORKDAY(INDEX($L$3:$L$94,MATCH($H95,$A$3:$A$94,0)),1),0)))))</f>
        <v/>
      </c>
      <c r="L95" s="9" t="str">
        <f aca="false">IF($A95="","",WORKDAY($K95,$I95-1))</f>
        <v/>
      </c>
      <c r="M95" s="9" t="str">
        <f aca="false">IF($A95="","",WORKDAY($N95,-($I95-1)))</f>
        <v/>
      </c>
      <c r="N95" s="9" t="str">
        <f aca="false">IF($A95="","",IF(COUNTIF($F$96:$F$102,$A95)+COUNTIF($G$96:$G$102,$A95)+COUNTIF($H$96:$H$102,$A95)=0,設定!$B$3,MIN(IF(COUNTIF($F$96:$F$102,$A95)=0,999999,IFERROR(WORKDAY(_xlfn.MINIFS($M$96:$M$102,$F$96:$F$102,$A95),-1),999999)),IF(COUNTIF($G$96:$G$102,$A95)=0,999999,IFERROR(WORKDAY(_xlfn.MINIFS($M$96:$M$102,$G$96:$G$102,$A95),-1),999999)),IF(COUNTIF($H$96:$H$102,$A95)=0,999999,IFERROR(WORKDAY(_xlfn.MINIFS($M$96:$M$102,$H$96:$H$102,$A95),-1),999999)))))</f>
        <v/>
      </c>
      <c r="O95" s="22" t="str">
        <f aca="false">IF($A95="","",NETWORKDAYS($K95,$M95)-1)</f>
        <v/>
      </c>
      <c r="P95" s="22" t="str">
        <f aca="false">IF($A95="","",IF($O95&lt;=0,"クリティカル",""))</f>
        <v/>
      </c>
      <c r="Q95" s="22" t="str">
        <f aca="true">IF($A95="","",IF(AND($J95&lt;&gt;"完了",TODAY()&gt;$L95),"遅延",""))</f>
        <v/>
      </c>
      <c r="R95" s="22" t="str">
        <f aca="false">IF($A95="","",_xlfn.TEXTJOIN(", ",TRUE(),IF($F95="","",IF(IFERROR(INDEX($J$3:$J$102,MATCH($F95,$A$3:$A$102,0)),"")&lt;&gt;"完了",IFERROR(INDEX($C$3:$C$102,MATCH($F95,$A$3:$A$102,0)),""),"")),IF($G95="","",IF(IFERROR(INDEX($J$3:$J$102,MATCH($G95,$A$3:$A$102,0)),"")&lt;&gt;"完了",IFERROR(INDEX($C$3:$C$102,MATCH($G95,$A$3:$A$102,0)),""),"")),IF($H95="","",IF(IFERROR(INDEX($J$3:$J$102,MATCH($H95,$A$3:$A$102,0)),"")&lt;&gt;"完了",IFERROR(INDEX($C$3:$C$102,MATCH($H95,$A$3:$A$102,0)),""),""))))</f>
        <v/>
      </c>
      <c r="S95" s="22" t="str">
        <f aca="false">IF($A95="","",IF($J95&lt;&gt;"完了",1,0))</f>
        <v/>
      </c>
    </row>
    <row r="96" customFormat="false" ht="15" hidden="false" customHeight="false" outlineLevel="0" collapsed="false">
      <c r="A96" s="16"/>
      <c r="B96" s="16"/>
      <c r="C96" s="16"/>
      <c r="D96" s="16"/>
      <c r="E96" s="16"/>
      <c r="F96" s="16"/>
      <c r="G96" s="16"/>
      <c r="H96" s="16"/>
      <c r="I96" s="21"/>
      <c r="J96" s="16"/>
      <c r="K96" s="9" t="str">
        <f aca="false">IF($A96="","",IF(AND($F96="",$G96="",$H96=""),設定!$B$2,MAX(IF($F96="",0,IFERROR(WORKDAY(INDEX($L$3:$L$95,MATCH($F96,$A$3:$A$95,0)),1),0)),IF($G96="",0,IFERROR(WORKDAY(INDEX($L$3:$L$95,MATCH($G96,$A$3:$A$95,0)),1),0)),IF($H96="",0,IFERROR(WORKDAY(INDEX($L$3:$L$95,MATCH($H96,$A$3:$A$95,0)),1),0)))))</f>
        <v/>
      </c>
      <c r="L96" s="9" t="str">
        <f aca="false">IF($A96="","",WORKDAY($K96,$I96-1))</f>
        <v/>
      </c>
      <c r="M96" s="9" t="str">
        <f aca="false">IF($A96="","",WORKDAY($N96,-($I96-1)))</f>
        <v/>
      </c>
      <c r="N96" s="9" t="str">
        <f aca="false">IF($A96="","",IF(COUNTIF($F$97:$F$102,$A96)+COUNTIF($G$97:$G$102,$A96)+COUNTIF($H$97:$H$102,$A96)=0,設定!$B$3,MIN(IF(COUNTIF($F$97:$F$102,$A96)=0,999999,IFERROR(WORKDAY(_xlfn.MINIFS($M$97:$M$102,$F$97:$F$102,$A96),-1),999999)),IF(COUNTIF($G$97:$G$102,$A96)=0,999999,IFERROR(WORKDAY(_xlfn.MINIFS($M$97:$M$102,$G$97:$G$102,$A96),-1),999999)),IF(COUNTIF($H$97:$H$102,$A96)=0,999999,IFERROR(WORKDAY(_xlfn.MINIFS($M$97:$M$102,$H$97:$H$102,$A96),-1),999999)))))</f>
        <v/>
      </c>
      <c r="O96" s="22" t="str">
        <f aca="false">IF($A96="","",NETWORKDAYS($K96,$M96)-1)</f>
        <v/>
      </c>
      <c r="P96" s="22" t="str">
        <f aca="false">IF($A96="","",IF($O96&lt;=0,"クリティカル",""))</f>
        <v/>
      </c>
      <c r="Q96" s="22" t="str">
        <f aca="true">IF($A96="","",IF(AND($J96&lt;&gt;"完了",TODAY()&gt;$L96),"遅延",""))</f>
        <v/>
      </c>
      <c r="R96" s="22" t="str">
        <f aca="false">IF($A96="","",_xlfn.TEXTJOIN(", ",TRUE(),IF($F96="","",IF(IFERROR(INDEX($J$3:$J$102,MATCH($F96,$A$3:$A$102,0)),"")&lt;&gt;"完了",IFERROR(INDEX($C$3:$C$102,MATCH($F96,$A$3:$A$102,0)),""),"")),IF($G96="","",IF(IFERROR(INDEX($J$3:$J$102,MATCH($G96,$A$3:$A$102,0)),"")&lt;&gt;"完了",IFERROR(INDEX($C$3:$C$102,MATCH($G96,$A$3:$A$102,0)),""),"")),IF($H96="","",IF(IFERROR(INDEX($J$3:$J$102,MATCH($H96,$A$3:$A$102,0)),"")&lt;&gt;"完了",IFERROR(INDEX($C$3:$C$102,MATCH($H96,$A$3:$A$102,0)),""),""))))</f>
        <v/>
      </c>
      <c r="S96" s="22" t="str">
        <f aca="false">IF($A96="","",IF($J96&lt;&gt;"完了",1,0))</f>
        <v/>
      </c>
    </row>
    <row r="97" customFormat="false" ht="15" hidden="false" customHeight="false" outlineLevel="0" collapsed="false">
      <c r="A97" s="16"/>
      <c r="B97" s="16"/>
      <c r="C97" s="16"/>
      <c r="D97" s="16"/>
      <c r="E97" s="16"/>
      <c r="F97" s="16"/>
      <c r="G97" s="16"/>
      <c r="H97" s="16"/>
      <c r="I97" s="21"/>
      <c r="J97" s="16"/>
      <c r="K97" s="9" t="str">
        <f aca="false">IF($A97="","",IF(AND($F97="",$G97="",$H97=""),設定!$B$2,MAX(IF($F97="",0,IFERROR(WORKDAY(INDEX($L$3:$L$96,MATCH($F97,$A$3:$A$96,0)),1),0)),IF($G97="",0,IFERROR(WORKDAY(INDEX($L$3:$L$96,MATCH($G97,$A$3:$A$96,0)),1),0)),IF($H97="",0,IFERROR(WORKDAY(INDEX($L$3:$L$96,MATCH($H97,$A$3:$A$96,0)),1),0)))))</f>
        <v/>
      </c>
      <c r="L97" s="9" t="str">
        <f aca="false">IF($A97="","",WORKDAY($K97,$I97-1))</f>
        <v/>
      </c>
      <c r="M97" s="9" t="str">
        <f aca="false">IF($A97="","",WORKDAY($N97,-($I97-1)))</f>
        <v/>
      </c>
      <c r="N97" s="9" t="str">
        <f aca="false">IF($A97="","",IF(COUNTIF($F$98:$F$102,$A97)+COUNTIF($G$98:$G$102,$A97)+COUNTIF($H$98:$H$102,$A97)=0,設定!$B$3,MIN(IF(COUNTIF($F$98:$F$102,$A97)=0,999999,IFERROR(WORKDAY(_xlfn.MINIFS($M$98:$M$102,$F$98:$F$102,$A97),-1),999999)),IF(COUNTIF($G$98:$G$102,$A97)=0,999999,IFERROR(WORKDAY(_xlfn.MINIFS($M$98:$M$102,$G$98:$G$102,$A97),-1),999999)),IF(COUNTIF($H$98:$H$102,$A97)=0,999999,IFERROR(WORKDAY(_xlfn.MINIFS($M$98:$M$102,$H$98:$H$102,$A97),-1),999999)))))</f>
        <v/>
      </c>
      <c r="O97" s="22" t="str">
        <f aca="false">IF($A97="","",NETWORKDAYS($K97,$M97)-1)</f>
        <v/>
      </c>
      <c r="P97" s="22" t="str">
        <f aca="false">IF($A97="","",IF($O97&lt;=0,"クリティカル",""))</f>
        <v/>
      </c>
      <c r="Q97" s="22" t="str">
        <f aca="true">IF($A97="","",IF(AND($J97&lt;&gt;"完了",TODAY()&gt;$L97),"遅延",""))</f>
        <v/>
      </c>
      <c r="R97" s="22" t="str">
        <f aca="false">IF($A97="","",_xlfn.TEXTJOIN(", ",TRUE(),IF($F97="","",IF(IFERROR(INDEX($J$3:$J$102,MATCH($F97,$A$3:$A$102,0)),"")&lt;&gt;"完了",IFERROR(INDEX($C$3:$C$102,MATCH($F97,$A$3:$A$102,0)),""),"")),IF($G97="","",IF(IFERROR(INDEX($J$3:$J$102,MATCH($G97,$A$3:$A$102,0)),"")&lt;&gt;"完了",IFERROR(INDEX($C$3:$C$102,MATCH($G97,$A$3:$A$102,0)),""),"")),IF($H97="","",IF(IFERROR(INDEX($J$3:$J$102,MATCH($H97,$A$3:$A$102,0)),"")&lt;&gt;"完了",IFERROR(INDEX($C$3:$C$102,MATCH($H97,$A$3:$A$102,0)),""),""))))</f>
        <v/>
      </c>
      <c r="S97" s="22" t="str">
        <f aca="false">IF($A97="","",IF($J97&lt;&gt;"完了",1,0))</f>
        <v/>
      </c>
    </row>
    <row r="98" customFormat="false" ht="15" hidden="false" customHeight="false" outlineLevel="0" collapsed="false">
      <c r="A98" s="16"/>
      <c r="B98" s="16"/>
      <c r="C98" s="16"/>
      <c r="D98" s="16"/>
      <c r="E98" s="16"/>
      <c r="F98" s="16"/>
      <c r="G98" s="16"/>
      <c r="H98" s="16"/>
      <c r="I98" s="21"/>
      <c r="J98" s="16"/>
      <c r="K98" s="9" t="str">
        <f aca="false">IF($A98="","",IF(AND($F98="",$G98="",$H98=""),設定!$B$2,MAX(IF($F98="",0,IFERROR(WORKDAY(INDEX($L$3:$L$97,MATCH($F98,$A$3:$A$97,0)),1),0)),IF($G98="",0,IFERROR(WORKDAY(INDEX($L$3:$L$97,MATCH($G98,$A$3:$A$97,0)),1),0)),IF($H98="",0,IFERROR(WORKDAY(INDEX($L$3:$L$97,MATCH($H98,$A$3:$A$97,0)),1),0)))))</f>
        <v/>
      </c>
      <c r="L98" s="9" t="str">
        <f aca="false">IF($A98="","",WORKDAY($K98,$I98-1))</f>
        <v/>
      </c>
      <c r="M98" s="9" t="str">
        <f aca="false">IF($A98="","",WORKDAY($N98,-($I98-1)))</f>
        <v/>
      </c>
      <c r="N98" s="9" t="str">
        <f aca="false">IF($A98="","",IF(COUNTIF($F$99:$F$102,$A98)+COUNTIF($G$99:$G$102,$A98)+COUNTIF($H$99:$H$102,$A98)=0,設定!$B$3,MIN(IF(COUNTIF($F$99:$F$102,$A98)=0,999999,IFERROR(WORKDAY(_xlfn.MINIFS($M$99:$M$102,$F$99:$F$102,$A98),-1),999999)),IF(COUNTIF($G$99:$G$102,$A98)=0,999999,IFERROR(WORKDAY(_xlfn.MINIFS($M$99:$M$102,$G$99:$G$102,$A98),-1),999999)),IF(COUNTIF($H$99:$H$102,$A98)=0,999999,IFERROR(WORKDAY(_xlfn.MINIFS($M$99:$M$102,$H$99:$H$102,$A98),-1),999999)))))</f>
        <v/>
      </c>
      <c r="O98" s="22" t="str">
        <f aca="false">IF($A98="","",NETWORKDAYS($K98,$M98)-1)</f>
        <v/>
      </c>
      <c r="P98" s="22" t="str">
        <f aca="false">IF($A98="","",IF($O98&lt;=0,"クリティカル",""))</f>
        <v/>
      </c>
      <c r="Q98" s="22" t="str">
        <f aca="true">IF($A98="","",IF(AND($J98&lt;&gt;"完了",TODAY()&gt;$L98),"遅延",""))</f>
        <v/>
      </c>
      <c r="R98" s="22" t="str">
        <f aca="false">IF($A98="","",_xlfn.TEXTJOIN(", ",TRUE(),IF($F98="","",IF(IFERROR(INDEX($J$3:$J$102,MATCH($F98,$A$3:$A$102,0)),"")&lt;&gt;"完了",IFERROR(INDEX($C$3:$C$102,MATCH($F98,$A$3:$A$102,0)),""),"")),IF($G98="","",IF(IFERROR(INDEX($J$3:$J$102,MATCH($G98,$A$3:$A$102,0)),"")&lt;&gt;"完了",IFERROR(INDEX($C$3:$C$102,MATCH($G98,$A$3:$A$102,0)),""),"")),IF($H98="","",IF(IFERROR(INDEX($J$3:$J$102,MATCH($H98,$A$3:$A$102,0)),"")&lt;&gt;"完了",IFERROR(INDEX($C$3:$C$102,MATCH($H98,$A$3:$A$102,0)),""),""))))</f>
        <v/>
      </c>
      <c r="S98" s="22" t="str">
        <f aca="false">IF($A98="","",IF($J98&lt;&gt;"完了",1,0))</f>
        <v/>
      </c>
    </row>
    <row r="99" customFormat="false" ht="15" hidden="false" customHeight="false" outlineLevel="0" collapsed="false">
      <c r="A99" s="16"/>
      <c r="B99" s="16"/>
      <c r="C99" s="16"/>
      <c r="D99" s="16"/>
      <c r="E99" s="16"/>
      <c r="F99" s="16"/>
      <c r="G99" s="16"/>
      <c r="H99" s="16"/>
      <c r="I99" s="21"/>
      <c r="J99" s="16"/>
      <c r="K99" s="9" t="str">
        <f aca="false">IF($A99="","",IF(AND($F99="",$G99="",$H99=""),設定!$B$2,MAX(IF($F99="",0,IFERROR(WORKDAY(INDEX($L$3:$L$98,MATCH($F99,$A$3:$A$98,0)),1),0)),IF($G99="",0,IFERROR(WORKDAY(INDEX($L$3:$L$98,MATCH($G99,$A$3:$A$98,0)),1),0)),IF($H99="",0,IFERROR(WORKDAY(INDEX($L$3:$L$98,MATCH($H99,$A$3:$A$98,0)),1),0)))))</f>
        <v/>
      </c>
      <c r="L99" s="9" t="str">
        <f aca="false">IF($A99="","",WORKDAY($K99,$I99-1))</f>
        <v/>
      </c>
      <c r="M99" s="9" t="str">
        <f aca="false">IF($A99="","",WORKDAY($N99,-($I99-1)))</f>
        <v/>
      </c>
      <c r="N99" s="9" t="str">
        <f aca="false">IF($A99="","",IF(COUNTIF($F$100:$F$102,$A99)+COUNTIF($G$100:$G$102,$A99)+COUNTIF($H$100:$H$102,$A99)=0,設定!$B$3,MIN(IF(COUNTIF($F$100:$F$102,$A99)=0,999999,IFERROR(WORKDAY(_xlfn.MINIFS($M$100:$M$102,$F$100:$F$102,$A99),-1),999999)),IF(COUNTIF($G$100:$G$102,$A99)=0,999999,IFERROR(WORKDAY(_xlfn.MINIFS($M$100:$M$102,$G$100:$G$102,$A99),-1),999999)),IF(COUNTIF($H$100:$H$102,$A99)=0,999999,IFERROR(WORKDAY(_xlfn.MINIFS($M$100:$M$102,$H$100:$H$102,$A99),-1),999999)))))</f>
        <v/>
      </c>
      <c r="O99" s="22" t="str">
        <f aca="false">IF($A99="","",NETWORKDAYS($K99,$M99)-1)</f>
        <v/>
      </c>
      <c r="P99" s="22" t="str">
        <f aca="false">IF($A99="","",IF($O99&lt;=0,"クリティカル",""))</f>
        <v/>
      </c>
      <c r="Q99" s="22" t="str">
        <f aca="true">IF($A99="","",IF(AND($J99&lt;&gt;"完了",TODAY()&gt;$L99),"遅延",""))</f>
        <v/>
      </c>
      <c r="R99" s="22" t="str">
        <f aca="false">IF($A99="","",_xlfn.TEXTJOIN(", ",TRUE(),IF($F99="","",IF(IFERROR(INDEX($J$3:$J$102,MATCH($F99,$A$3:$A$102,0)),"")&lt;&gt;"完了",IFERROR(INDEX($C$3:$C$102,MATCH($F99,$A$3:$A$102,0)),""),"")),IF($G99="","",IF(IFERROR(INDEX($J$3:$J$102,MATCH($G99,$A$3:$A$102,0)),"")&lt;&gt;"完了",IFERROR(INDEX($C$3:$C$102,MATCH($G99,$A$3:$A$102,0)),""),"")),IF($H99="","",IF(IFERROR(INDEX($J$3:$J$102,MATCH($H99,$A$3:$A$102,0)),"")&lt;&gt;"完了",IFERROR(INDEX($C$3:$C$102,MATCH($H99,$A$3:$A$102,0)),""),""))))</f>
        <v/>
      </c>
      <c r="S99" s="22" t="str">
        <f aca="false">IF($A99="","",IF($J99&lt;&gt;"完了",1,0))</f>
        <v/>
      </c>
    </row>
    <row r="100" customFormat="false" ht="15" hidden="false" customHeight="false" outlineLevel="0" collapsed="false">
      <c r="A100" s="16"/>
      <c r="B100" s="16"/>
      <c r="C100" s="16"/>
      <c r="D100" s="16"/>
      <c r="E100" s="16"/>
      <c r="F100" s="16"/>
      <c r="G100" s="16"/>
      <c r="H100" s="16"/>
      <c r="I100" s="21"/>
      <c r="J100" s="16"/>
      <c r="K100" s="9" t="str">
        <f aca="false">IF($A100="","",IF(AND($F100="",$G100="",$H100=""),設定!$B$2,MAX(IF($F100="",0,IFERROR(WORKDAY(INDEX($L$3:$L$99,MATCH($F100,$A$3:$A$99,0)),1),0)),IF($G100="",0,IFERROR(WORKDAY(INDEX($L$3:$L$99,MATCH($G100,$A$3:$A$99,0)),1),0)),IF($H100="",0,IFERROR(WORKDAY(INDEX($L$3:$L$99,MATCH($H100,$A$3:$A$99,0)),1),0)))))</f>
        <v/>
      </c>
      <c r="L100" s="9" t="str">
        <f aca="false">IF($A100="","",WORKDAY($K100,$I100-1))</f>
        <v/>
      </c>
      <c r="M100" s="9" t="str">
        <f aca="false">IF($A100="","",WORKDAY($N100,-($I100-1)))</f>
        <v/>
      </c>
      <c r="N100" s="9" t="str">
        <f aca="false">IF($A100="","",IF(COUNTIF($F$101:$F$102,$A100)+COUNTIF($G$101:$G$102,$A100)+COUNTIF($H$101:$H$102,$A100)=0,設定!$B$3,MIN(IF(COUNTIF($F$101:$F$102,$A100)=0,999999,IFERROR(WORKDAY(_xlfn.MINIFS($M$101:$M$102,$F$101:$F$102,$A100),-1),999999)),IF(COUNTIF($G$101:$G$102,$A100)=0,999999,IFERROR(WORKDAY(_xlfn.MINIFS($M$101:$M$102,$G$101:$G$102,$A100),-1),999999)),IF(COUNTIF($H$101:$H$102,$A100)=0,999999,IFERROR(WORKDAY(_xlfn.MINIFS($M$101:$M$102,$H$101:$H$102,$A100),-1),999999)))))</f>
        <v/>
      </c>
      <c r="O100" s="22" t="str">
        <f aca="false">IF($A100="","",NETWORKDAYS($K100,$M100)-1)</f>
        <v/>
      </c>
      <c r="P100" s="22" t="str">
        <f aca="false">IF($A100="","",IF($O100&lt;=0,"クリティカル",""))</f>
        <v/>
      </c>
      <c r="Q100" s="22" t="str">
        <f aca="true">IF($A100="","",IF(AND($J100&lt;&gt;"完了",TODAY()&gt;$L100),"遅延",""))</f>
        <v/>
      </c>
      <c r="R100" s="22" t="str">
        <f aca="false">IF($A100="","",_xlfn.TEXTJOIN(", ",TRUE(),IF($F100="","",IF(IFERROR(INDEX($J$3:$J$102,MATCH($F100,$A$3:$A$102,0)),"")&lt;&gt;"完了",IFERROR(INDEX($C$3:$C$102,MATCH($F100,$A$3:$A$102,0)),""),"")),IF($G100="","",IF(IFERROR(INDEX($J$3:$J$102,MATCH($G100,$A$3:$A$102,0)),"")&lt;&gt;"完了",IFERROR(INDEX($C$3:$C$102,MATCH($G100,$A$3:$A$102,0)),""),"")),IF($H100="","",IF(IFERROR(INDEX($J$3:$J$102,MATCH($H100,$A$3:$A$102,0)),"")&lt;&gt;"完了",IFERROR(INDEX($C$3:$C$102,MATCH($H100,$A$3:$A$102,0)),""),""))))</f>
        <v/>
      </c>
      <c r="S100" s="22" t="str">
        <f aca="false">IF($A100="","",IF($J100&lt;&gt;"完了",1,0))</f>
        <v/>
      </c>
    </row>
    <row r="101" customFormat="false" ht="15" hidden="false" customHeight="false" outlineLevel="0" collapsed="false">
      <c r="A101" s="16"/>
      <c r="B101" s="16"/>
      <c r="C101" s="16"/>
      <c r="D101" s="16"/>
      <c r="E101" s="16"/>
      <c r="F101" s="16"/>
      <c r="G101" s="16"/>
      <c r="H101" s="16"/>
      <c r="I101" s="21"/>
      <c r="J101" s="16"/>
      <c r="K101" s="9" t="str">
        <f aca="false">IF($A101="","",IF(AND($F101="",$G101="",$H101=""),設定!$B$2,MAX(IF($F101="",0,IFERROR(WORKDAY(INDEX($L$3:$L$100,MATCH($F101,$A$3:$A$100,0)),1),0)),IF($G101="",0,IFERROR(WORKDAY(INDEX($L$3:$L$100,MATCH($G101,$A$3:$A$100,0)),1),0)),IF($H101="",0,IFERROR(WORKDAY(INDEX($L$3:$L$100,MATCH($H101,$A$3:$A$100,0)),1),0)))))</f>
        <v/>
      </c>
      <c r="L101" s="9" t="str">
        <f aca="false">IF($A101="","",WORKDAY($K101,$I101-1))</f>
        <v/>
      </c>
      <c r="M101" s="9" t="str">
        <f aca="false">IF($A101="","",WORKDAY($N101,-($I101-1)))</f>
        <v/>
      </c>
      <c r="N101" s="9" t="str">
        <f aca="false">IF($A101="","",IF(COUNTIF($F$102:$F$102,$A101)+COUNTIF($G$102:$G$102,$A101)+COUNTIF($H$102:$H$102,$A101)=0,設定!$B$3,MIN(IF(COUNTIF($F$102:$F$102,$A101)=0,999999,IFERROR(WORKDAY(_xlfn.MINIFS($M$102:$M$102,$F$102:$F$102,$A101),-1),999999)),IF(COUNTIF($G$102:$G$102,$A101)=0,999999,IFERROR(WORKDAY(_xlfn.MINIFS($M$102:$M$102,$G$102:$G$102,$A101),-1),999999)),IF(COUNTIF($H$102:$H$102,$A101)=0,999999,IFERROR(WORKDAY(_xlfn.MINIFS($M$102:$M$102,$H$102:$H$102,$A101),-1),999999)))))</f>
        <v/>
      </c>
      <c r="O101" s="22" t="str">
        <f aca="false">IF($A101="","",NETWORKDAYS($K101,$M101)-1)</f>
        <v/>
      </c>
      <c r="P101" s="22" t="str">
        <f aca="false">IF($A101="","",IF($O101&lt;=0,"クリティカル",""))</f>
        <v/>
      </c>
      <c r="Q101" s="22" t="str">
        <f aca="true">IF($A101="","",IF(AND($J101&lt;&gt;"完了",TODAY()&gt;$L101),"遅延",""))</f>
        <v/>
      </c>
      <c r="R101" s="22" t="str">
        <f aca="false">IF($A101="","",_xlfn.TEXTJOIN(", ",TRUE(),IF($F101="","",IF(IFERROR(INDEX($J$3:$J$102,MATCH($F101,$A$3:$A$102,0)),"")&lt;&gt;"完了",IFERROR(INDEX($C$3:$C$102,MATCH($F101,$A$3:$A$102,0)),""),"")),IF($G101="","",IF(IFERROR(INDEX($J$3:$J$102,MATCH($G101,$A$3:$A$102,0)),"")&lt;&gt;"完了",IFERROR(INDEX($C$3:$C$102,MATCH($G101,$A$3:$A$102,0)),""),"")),IF($H101="","",IF(IFERROR(INDEX($J$3:$J$102,MATCH($H101,$A$3:$A$102,0)),"")&lt;&gt;"完了",IFERROR(INDEX($C$3:$C$102,MATCH($H101,$A$3:$A$102,0)),""),""))))</f>
        <v/>
      </c>
      <c r="S101" s="22" t="str">
        <f aca="false">IF($A101="","",IF($J101&lt;&gt;"完了",1,0))</f>
        <v/>
      </c>
    </row>
    <row r="102" customFormat="false" ht="15" hidden="false" customHeight="false" outlineLevel="0" collapsed="false">
      <c r="A102" s="16"/>
      <c r="B102" s="16"/>
      <c r="C102" s="16"/>
      <c r="D102" s="16"/>
      <c r="E102" s="16"/>
      <c r="F102" s="16"/>
      <c r="G102" s="16"/>
      <c r="H102" s="16"/>
      <c r="I102" s="21"/>
      <c r="J102" s="16"/>
      <c r="K102" s="9" t="str">
        <f aca="false">IF($A102="","",IF(AND($F102="",$G102="",$H102=""),設定!$B$2,MAX(IF($F102="",0,IFERROR(WORKDAY(INDEX($L$3:$L$101,MATCH($F102,$A$3:$A$101,0)),1),0)),IF($G102="",0,IFERROR(WORKDAY(INDEX($L$3:$L$101,MATCH($G102,$A$3:$A$101,0)),1),0)),IF($H102="",0,IFERROR(WORKDAY(INDEX($L$3:$L$101,MATCH($H102,$A$3:$A$101,0)),1),0)))))</f>
        <v/>
      </c>
      <c r="L102" s="9" t="str">
        <f aca="false">IF($A102="","",WORKDAY($K102,$I102-1))</f>
        <v/>
      </c>
      <c r="M102" s="9" t="str">
        <f aca="false">IF($A102="","",WORKDAY($N102,-($I102-1)))</f>
        <v/>
      </c>
      <c r="N102" s="9" t="str">
        <f aca="false">IF($A102="","",設定!$B$3)</f>
        <v/>
      </c>
      <c r="O102" s="22" t="str">
        <f aca="false">IF($A102="","",NETWORKDAYS($K102,$M102)-1)</f>
        <v/>
      </c>
      <c r="P102" s="22" t="str">
        <f aca="false">IF($A102="","",IF($O102&lt;=0,"クリティカル",""))</f>
        <v/>
      </c>
      <c r="Q102" s="22" t="str">
        <f aca="true">IF($A102="","",IF(AND($J102&lt;&gt;"完了",TODAY()&gt;$L102),"遅延",""))</f>
        <v/>
      </c>
      <c r="R102" s="22" t="str">
        <f aca="false">IF($A102="","",_xlfn.TEXTJOIN(", ",TRUE(),IF($F102="","",IF(IFERROR(INDEX($J$3:$J$102,MATCH($F102,$A$3:$A$102,0)),"")&lt;&gt;"完了",IFERROR(INDEX($C$3:$C$102,MATCH($F102,$A$3:$A$102,0)),""),"")),IF($G102="","",IF(IFERROR(INDEX($J$3:$J$102,MATCH($G102,$A$3:$A$102,0)),"")&lt;&gt;"完了",IFERROR(INDEX($C$3:$C$102,MATCH($G102,$A$3:$A$102,0)),""),"")),IF($H102="","",IF(IFERROR(INDEX($J$3:$J$102,MATCH($H102,$A$3:$A$102,0)),"")&lt;&gt;"完了",IFERROR(INDEX($C$3:$C$102,MATCH($H102,$A$3:$A$102,0)),""),""))))</f>
        <v/>
      </c>
      <c r="S102" s="22" t="str">
        <f aca="false">IF($A102="","",IF($J102&lt;&gt;"完了",1,0))</f>
        <v/>
      </c>
    </row>
  </sheetData>
  <autoFilter ref="A2:S102"/>
  <conditionalFormatting sqref="A3:S102">
    <cfRule type="expression" priority="2" aboveAverage="0" equalAverage="0" bottom="0" percent="0" rank="0" text="" dxfId="7">
      <formula>$P3="クリティカル"</formula>
    </cfRule>
    <cfRule type="expression" priority="3" aboveAverage="0" equalAverage="0" bottom="0" percent="0" rank="0" text="" dxfId="8">
      <formula>$Q3="遅延"</formula>
    </cfRule>
  </conditionalFormatting>
  <dataValidations count="4">
    <dataValidation allowBlank="true" errorStyle="stop" operator="between" showDropDown="false" showErrorMessage="false" showInputMessage="false" sqref="D3:D102" type="list">
      <formula1>マイルストーン一覧!$B$3:$B$12</formula1>
      <formula2>0</formula2>
    </dataValidation>
    <dataValidation allowBlank="true" errorStyle="stop" operator="between" showDropDown="false" showErrorMessage="false" showInputMessage="false" sqref="E3:E102" type="list">
      <formula1>担当者一覧!$B$3:$B$12</formula1>
      <formula2>0</formula2>
    </dataValidation>
    <dataValidation allowBlank="true" errorStyle="stop" operator="between" showDropDown="false" showErrorMessage="false" showInputMessage="false" sqref="J3:J102" type="list">
      <formula1>"未着手,進行中,完了"</formula1>
      <formula2>0</formula2>
    </dataValidation>
    <dataValidation allowBlank="true" errorStyle="stop" operator="between" showDropDown="false" showErrorMessage="false" showInputMessage="false" sqref="F3:H102" type="list">
      <formula1>$A$3:$A$102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13</v>
      </c>
    </row>
    <row r="3" customFormat="false" ht="15" hidden="false" customHeight="false" outlineLevel="0" collapsed="false">
      <c r="A3" s="5" t="s">
        <v>101</v>
      </c>
    </row>
    <row r="4" customFormat="false" ht="26.85" hidden="false" customHeight="false" outlineLevel="0" collapsed="false">
      <c r="A4" s="11" t="s">
        <v>74</v>
      </c>
      <c r="B4" s="11" t="s">
        <v>102</v>
      </c>
      <c r="C4" s="11" t="s">
        <v>103</v>
      </c>
      <c r="D4" s="11" t="s">
        <v>104</v>
      </c>
    </row>
    <row r="5" customFormat="false" ht="15" hidden="false" customHeight="false" outlineLevel="0" collapsed="false">
      <c r="A5" s="23" t="str">
        <f aca="false">IF(INDEX(担当者一覧!$B$3:$B$12,1)="","",INDEX(担当者一覧!$B$3:$B$12,1))</f>
        <v>担当者A(例)</v>
      </c>
      <c r="B5" s="23" t="n">
        <f aca="false">IF($A5="","",COUNTIFS(タスク一覧!$E$3:$E$102,$A5,タスク一覧!$S$3:$S$102,1))</f>
        <v>2</v>
      </c>
      <c r="C5" s="23" t="n">
        <f aca="false">IF($A5="","",COUNTIFS(タスク一覧!$E$3:$E$102,$A5,タスク一覧!$Q$3:$Q$102,"遅延"))</f>
        <v>0</v>
      </c>
      <c r="D5" s="23" t="n">
        <f aca="false">IF($A5="","",COUNTIFS(タスク一覧!$E$3:$E$102,$A5,タスク一覧!$P$3:$P$102,"クリティカル",タスク一覧!$S$3:$S$102,1))</f>
        <v>1</v>
      </c>
    </row>
    <row r="6" customFormat="false" ht="15" hidden="false" customHeight="false" outlineLevel="0" collapsed="false">
      <c r="A6" s="23" t="str">
        <f aca="false">IF(INDEX(担当者一覧!$B$3:$B$12,2)="","",INDEX(担当者一覧!$B$3:$B$12,2))</f>
        <v>担当者B(例)</v>
      </c>
      <c r="B6" s="23" t="n">
        <f aca="false">IF($A6="","",COUNTIFS(タスク一覧!$E$3:$E$102,$A6,タスク一覧!$S$3:$S$102,1))</f>
        <v>4</v>
      </c>
      <c r="C6" s="23" t="n">
        <f aca="false">IF($A6="","",COUNTIFS(タスク一覧!$E$3:$E$102,$A6,タスク一覧!$Q$3:$Q$102,"遅延"))</f>
        <v>0</v>
      </c>
      <c r="D6" s="23" t="n">
        <f aca="false">IF($A6="","",COUNTIFS(タスク一覧!$E$3:$E$102,$A6,タスク一覧!$P$3:$P$102,"クリティカル",タスク一覧!$S$3:$S$102,1))</f>
        <v>3</v>
      </c>
    </row>
    <row r="7" customFormat="false" ht="15" hidden="false" customHeight="false" outlineLevel="0" collapsed="false">
      <c r="A7" s="23" t="str">
        <f aca="false">IF(INDEX(担当者一覧!$B$3:$B$12,3)="","",INDEX(担当者一覧!$B$3:$B$12,3))</f>
        <v>担当者C(例)</v>
      </c>
      <c r="B7" s="23" t="n">
        <f aca="false">IF($A7="","",COUNTIFS(タスク一覧!$E$3:$E$102,$A7,タスク一覧!$S$3:$S$102,1))</f>
        <v>3</v>
      </c>
      <c r="C7" s="23" t="n">
        <f aca="false">IF($A7="","",COUNTIFS(タスク一覧!$E$3:$E$102,$A7,タスク一覧!$Q$3:$Q$102,"遅延"))</f>
        <v>0</v>
      </c>
      <c r="D7" s="23" t="n">
        <f aca="false">IF($A7="","",COUNTIFS(タスク一覧!$E$3:$E$102,$A7,タスク一覧!$P$3:$P$102,"クリティカル",タスク一覧!$S$3:$S$102,1))</f>
        <v>3</v>
      </c>
    </row>
    <row r="8" customFormat="false" ht="15" hidden="false" customHeight="false" outlineLevel="0" collapsed="false">
      <c r="A8" s="23" t="str">
        <f aca="false">IF(INDEX(担当者一覧!$B$3:$B$12,4)="","",INDEX(担当者一覧!$B$3:$B$12,4))</f>
        <v/>
      </c>
      <c r="B8" s="23" t="str">
        <f aca="false">IF($A8="","",COUNTIFS(タスク一覧!$E$3:$E$102,$A8,タスク一覧!$S$3:$S$102,1))</f>
        <v/>
      </c>
      <c r="C8" s="23" t="str">
        <f aca="false">IF($A8="","",COUNTIFS(タスク一覧!$E$3:$E$102,$A8,タスク一覧!$Q$3:$Q$102,"遅延"))</f>
        <v/>
      </c>
      <c r="D8" s="23" t="str">
        <f aca="false">IF($A8="","",COUNTIFS(タスク一覧!$E$3:$E$102,$A8,タスク一覧!$P$3:$P$102,"クリティカル",タスク一覧!$S$3:$S$102,1))</f>
        <v/>
      </c>
    </row>
    <row r="9" customFormat="false" ht="15" hidden="false" customHeight="false" outlineLevel="0" collapsed="false">
      <c r="A9" s="23" t="str">
        <f aca="false">IF(INDEX(担当者一覧!$B$3:$B$12,5)="","",INDEX(担当者一覧!$B$3:$B$12,5))</f>
        <v/>
      </c>
      <c r="B9" s="23" t="str">
        <f aca="false">IF($A9="","",COUNTIFS(タスク一覧!$E$3:$E$102,$A9,タスク一覧!$S$3:$S$102,1))</f>
        <v/>
      </c>
      <c r="C9" s="23" t="str">
        <f aca="false">IF($A9="","",COUNTIFS(タスク一覧!$E$3:$E$102,$A9,タスク一覧!$Q$3:$Q$102,"遅延"))</f>
        <v/>
      </c>
      <c r="D9" s="23" t="str">
        <f aca="false">IF($A9="","",COUNTIFS(タスク一覧!$E$3:$E$102,$A9,タスク一覧!$P$3:$P$102,"クリティカル",タスク一覧!$S$3:$S$102,1))</f>
        <v/>
      </c>
    </row>
    <row r="10" customFormat="false" ht="15" hidden="false" customHeight="false" outlineLevel="0" collapsed="false">
      <c r="A10" s="23" t="str">
        <f aca="false">IF(INDEX(担当者一覧!$B$3:$B$12,6)="","",INDEX(担当者一覧!$B$3:$B$12,6))</f>
        <v/>
      </c>
      <c r="B10" s="23" t="str">
        <f aca="false">IF($A10="","",COUNTIFS(タスク一覧!$E$3:$E$102,$A10,タスク一覧!$S$3:$S$102,1))</f>
        <v/>
      </c>
      <c r="C10" s="23" t="str">
        <f aca="false">IF($A10="","",COUNTIFS(タスク一覧!$E$3:$E$102,$A10,タスク一覧!$Q$3:$Q$102,"遅延"))</f>
        <v/>
      </c>
      <c r="D10" s="23" t="str">
        <f aca="false">IF($A10="","",COUNTIFS(タスク一覧!$E$3:$E$102,$A10,タスク一覧!$P$3:$P$102,"クリティカル",タスク一覧!$S$3:$S$102,1))</f>
        <v/>
      </c>
    </row>
    <row r="11" customFormat="false" ht="15" hidden="false" customHeight="false" outlineLevel="0" collapsed="false">
      <c r="A11" s="23" t="str">
        <f aca="false">IF(INDEX(担当者一覧!$B$3:$B$12,7)="","",INDEX(担当者一覧!$B$3:$B$12,7))</f>
        <v/>
      </c>
      <c r="B11" s="23" t="str">
        <f aca="false">IF($A11="","",COUNTIFS(タスク一覧!$E$3:$E$102,$A11,タスク一覧!$S$3:$S$102,1))</f>
        <v/>
      </c>
      <c r="C11" s="23" t="str">
        <f aca="false">IF($A11="","",COUNTIFS(タスク一覧!$E$3:$E$102,$A11,タスク一覧!$Q$3:$Q$102,"遅延"))</f>
        <v/>
      </c>
      <c r="D11" s="23" t="str">
        <f aca="false">IF($A11="","",COUNTIFS(タスク一覧!$E$3:$E$102,$A11,タスク一覧!$P$3:$P$102,"クリティカル",タスク一覧!$S$3:$S$102,1))</f>
        <v/>
      </c>
    </row>
    <row r="12" customFormat="false" ht="15" hidden="false" customHeight="false" outlineLevel="0" collapsed="false">
      <c r="A12" s="23" t="str">
        <f aca="false">IF(INDEX(担当者一覧!$B$3:$B$12,8)="","",INDEX(担当者一覧!$B$3:$B$12,8))</f>
        <v/>
      </c>
      <c r="B12" s="23" t="str">
        <f aca="false">IF($A12="","",COUNTIFS(タスク一覧!$E$3:$E$102,$A12,タスク一覧!$S$3:$S$102,1))</f>
        <v/>
      </c>
      <c r="C12" s="23" t="str">
        <f aca="false">IF($A12="","",COUNTIFS(タスク一覧!$E$3:$E$102,$A12,タスク一覧!$Q$3:$Q$102,"遅延"))</f>
        <v/>
      </c>
      <c r="D12" s="23" t="str">
        <f aca="false">IF($A12="","",COUNTIFS(タスク一覧!$E$3:$E$102,$A12,タスク一覧!$P$3:$P$102,"クリティカル",タスク一覧!$S$3:$S$102,1))</f>
        <v/>
      </c>
    </row>
    <row r="13" customFormat="false" ht="15" hidden="false" customHeight="false" outlineLevel="0" collapsed="false">
      <c r="A13" s="23" t="str">
        <f aca="false">IF(INDEX(担当者一覧!$B$3:$B$12,9)="","",INDEX(担当者一覧!$B$3:$B$12,9))</f>
        <v/>
      </c>
      <c r="B13" s="23" t="str">
        <f aca="false">IF($A13="","",COUNTIFS(タスク一覧!$E$3:$E$102,$A13,タスク一覧!$S$3:$S$102,1))</f>
        <v/>
      </c>
      <c r="C13" s="23" t="str">
        <f aca="false">IF($A13="","",COUNTIFS(タスク一覧!$E$3:$E$102,$A13,タスク一覧!$Q$3:$Q$102,"遅延"))</f>
        <v/>
      </c>
      <c r="D13" s="23" t="str">
        <f aca="false">IF($A13="","",COUNTIFS(タスク一覧!$E$3:$E$102,$A13,タスク一覧!$P$3:$P$102,"クリティカル",タスク一覧!$S$3:$S$102,1))</f>
        <v/>
      </c>
    </row>
    <row r="14" customFormat="false" ht="15" hidden="false" customHeight="false" outlineLevel="0" collapsed="false">
      <c r="A14" s="23" t="str">
        <f aca="false">IF(INDEX(担当者一覧!$B$3:$B$12,10)="","",INDEX(担当者一覧!$B$3:$B$12,10))</f>
        <v/>
      </c>
      <c r="B14" s="23" t="str">
        <f aca="false">IF($A14="","",COUNTIFS(タスク一覧!$E$3:$E$102,$A14,タスク一覧!$S$3:$S$102,1))</f>
        <v/>
      </c>
      <c r="C14" s="23" t="str">
        <f aca="false">IF($A14="","",COUNTIFS(タスク一覧!$E$3:$E$102,$A14,タスク一覧!$Q$3:$Q$102,"遅延"))</f>
        <v/>
      </c>
      <c r="D14" s="23" t="str">
        <f aca="false">IF($A14="","",COUNTIFS(タスク一覧!$E$3:$E$102,$A14,タスク一覧!$P$3:$P$102,"クリティカル",タスク一覧!$S$3:$S$102,1))</f>
        <v/>
      </c>
    </row>
    <row r="16" customFormat="false" ht="15" hidden="false" customHeight="false" outlineLevel="0" collapsed="false">
      <c r="A16" s="5" t="s">
        <v>105</v>
      </c>
    </row>
    <row r="17" customFormat="false" ht="15" hidden="false" customHeight="false" outlineLevel="0" collapsed="false">
      <c r="A17" s="11" t="s">
        <v>73</v>
      </c>
      <c r="B17" s="11" t="s">
        <v>52</v>
      </c>
      <c r="C17" s="11" t="s">
        <v>106</v>
      </c>
      <c r="D17" s="11" t="s">
        <v>102</v>
      </c>
      <c r="E17" s="11" t="s">
        <v>107</v>
      </c>
      <c r="F17" s="11" t="s">
        <v>103</v>
      </c>
    </row>
    <row r="18" customFormat="false" ht="15" hidden="false" customHeight="false" outlineLevel="0" collapsed="false">
      <c r="A18" s="23" t="str">
        <f aca="false">IF(INDEX(マイルストーン一覧!$B$3:$B$12,1)="","",INDEX(マイルストーン一覧!$B$3:$B$12,1))</f>
        <v>要件定義完了</v>
      </c>
      <c r="B18" s="9" t="n">
        <f aca="false">IF($A18="","",INDEX(マイルストーン一覧!$C$3:$C$12,1))</f>
        <v>46248</v>
      </c>
      <c r="C18" s="23" t="n">
        <f aca="false">IF($A18="","",COUNTIF(タスク一覧!$D$3:$D$102,$A18))</f>
        <v>3</v>
      </c>
      <c r="D18" s="23" t="n">
        <f aca="false">IF($A18="","",COUNTIFS(タスク一覧!$D$3:$D$102,$A18,タスク一覧!$S$3:$S$102,1))</f>
        <v>1</v>
      </c>
      <c r="E18" s="24" t="n">
        <f aca="false">IF(OR($A18="",$C18=0),"",($C18-$D18)/$C18)</f>
        <v>0.666666666666667</v>
      </c>
      <c r="F18" s="23" t="n">
        <f aca="false">IF($A18="","",COUNTIFS(タスク一覧!$D$3:$D$102,$A18,タスク一覧!$Q$3:$Q$102,"遅延"))</f>
        <v>0</v>
      </c>
    </row>
    <row r="19" customFormat="false" ht="15" hidden="false" customHeight="false" outlineLevel="0" collapsed="false">
      <c r="A19" s="23" t="str">
        <f aca="false">IF(INDEX(マイルストーン一覧!$B$3:$B$12,2)="","",INDEX(マイルストーン一覧!$B$3:$B$12,2))</f>
        <v>設計完了</v>
      </c>
      <c r="B19" s="9" t="n">
        <f aca="false">IF($A19="","",INDEX(マイルストーン一覧!$C$3:$C$12,2))</f>
        <v>46276</v>
      </c>
      <c r="C19" s="23" t="n">
        <f aca="false">IF($A19="","",COUNTIF(タスク一覧!$D$3:$D$102,$A19))</f>
        <v>4</v>
      </c>
      <c r="D19" s="23" t="n">
        <f aca="false">IF($A19="","",COUNTIFS(タスク一覧!$D$3:$D$102,$A19,タスク一覧!$S$3:$S$102,1))</f>
        <v>4</v>
      </c>
      <c r="E19" s="24" t="n">
        <f aca="false">IF(OR($A19="",$C19=0),"",($C19-$D19)/$C19)</f>
        <v>0</v>
      </c>
      <c r="F19" s="23" t="n">
        <f aca="false">IF($A19="","",COUNTIFS(タスク一覧!$D$3:$D$102,$A19,タスク一覧!$Q$3:$Q$102,"遅延"))</f>
        <v>0</v>
      </c>
    </row>
    <row r="20" customFormat="false" ht="15" hidden="false" customHeight="false" outlineLevel="0" collapsed="false">
      <c r="A20" s="23" t="str">
        <f aca="false">IF(INDEX(マイルストーン一覧!$B$3:$B$12,3)="","",INDEX(マイルストーン一覧!$B$3:$B$12,3))</f>
        <v>リリース</v>
      </c>
      <c r="B20" s="9" t="n">
        <f aca="false">IF($A20="","",INDEX(マイルストーン一覧!$C$3:$C$12,3))</f>
        <v>46304</v>
      </c>
      <c r="C20" s="23" t="n">
        <f aca="false">IF($A20="","",COUNTIF(タスク一覧!$D$3:$D$102,$A20))</f>
        <v>4</v>
      </c>
      <c r="D20" s="23" t="n">
        <f aca="false">IF($A20="","",COUNTIFS(タスク一覧!$D$3:$D$102,$A20,タスク一覧!$S$3:$S$102,1))</f>
        <v>4</v>
      </c>
      <c r="E20" s="24" t="n">
        <f aca="false">IF(OR($A20="",$C20=0),"",($C20-$D20)/$C20)</f>
        <v>0</v>
      </c>
      <c r="F20" s="23" t="n">
        <f aca="false">IF($A20="","",COUNTIFS(タスク一覧!$D$3:$D$102,$A20,タスク一覧!$Q$3:$Q$102,"遅延"))</f>
        <v>0</v>
      </c>
    </row>
    <row r="21" customFormat="false" ht="15" hidden="false" customHeight="false" outlineLevel="0" collapsed="false">
      <c r="A21" s="23" t="str">
        <f aca="false">IF(INDEX(マイルストーン一覧!$B$3:$B$12,4)="","",INDEX(マイルストーン一覧!$B$3:$B$12,4))</f>
        <v/>
      </c>
      <c r="B21" s="9" t="str">
        <f aca="false">IF($A21="","",INDEX(マイルストーン一覧!$C$3:$C$12,4))</f>
        <v/>
      </c>
      <c r="C21" s="23" t="str">
        <f aca="false">IF($A21="","",COUNTIF(タスク一覧!$D$3:$D$102,$A21))</f>
        <v/>
      </c>
      <c r="D21" s="23" t="str">
        <f aca="false">IF($A21="","",COUNTIFS(タスク一覧!$D$3:$D$102,$A21,タスク一覧!$S$3:$S$102,1))</f>
        <v/>
      </c>
      <c r="E21" s="24" t="str">
        <f aca="false">IF(OR($A21="",$C21=0),"",($C21-$D21)/$C21)</f>
        <v/>
      </c>
      <c r="F21" s="23" t="str">
        <f aca="false">IF($A21="","",COUNTIFS(タスク一覧!$D$3:$D$102,$A21,タスク一覧!$Q$3:$Q$102,"遅延"))</f>
        <v/>
      </c>
    </row>
    <row r="22" customFormat="false" ht="15" hidden="false" customHeight="false" outlineLevel="0" collapsed="false">
      <c r="A22" s="23" t="str">
        <f aca="false">IF(INDEX(マイルストーン一覧!$B$3:$B$12,5)="","",INDEX(マイルストーン一覧!$B$3:$B$12,5))</f>
        <v/>
      </c>
      <c r="B22" s="9" t="str">
        <f aca="false">IF($A22="","",INDEX(マイルストーン一覧!$C$3:$C$12,5))</f>
        <v/>
      </c>
      <c r="C22" s="23" t="str">
        <f aca="false">IF($A22="","",COUNTIF(タスク一覧!$D$3:$D$102,$A22))</f>
        <v/>
      </c>
      <c r="D22" s="23" t="str">
        <f aca="false">IF($A22="","",COUNTIFS(タスク一覧!$D$3:$D$102,$A22,タスク一覧!$S$3:$S$102,1))</f>
        <v/>
      </c>
      <c r="E22" s="24" t="str">
        <f aca="false">IF(OR($A22="",$C22=0),"",($C22-$D22)/$C22)</f>
        <v/>
      </c>
      <c r="F22" s="23" t="str">
        <f aca="false">IF($A22="","",COUNTIFS(タスク一覧!$D$3:$D$102,$A22,タスク一覧!$Q$3:$Q$102,"遅延"))</f>
        <v/>
      </c>
    </row>
    <row r="23" customFormat="false" ht="15" hidden="false" customHeight="false" outlineLevel="0" collapsed="false">
      <c r="A23" s="23" t="str">
        <f aca="false">IF(INDEX(マイルストーン一覧!$B$3:$B$12,6)="","",INDEX(マイルストーン一覧!$B$3:$B$12,6))</f>
        <v/>
      </c>
      <c r="B23" s="9" t="str">
        <f aca="false">IF($A23="","",INDEX(マイルストーン一覧!$C$3:$C$12,6))</f>
        <v/>
      </c>
      <c r="C23" s="23" t="str">
        <f aca="false">IF($A23="","",COUNTIF(タスク一覧!$D$3:$D$102,$A23))</f>
        <v/>
      </c>
      <c r="D23" s="23" t="str">
        <f aca="false">IF($A23="","",COUNTIFS(タスク一覧!$D$3:$D$102,$A23,タスク一覧!$S$3:$S$102,1))</f>
        <v/>
      </c>
      <c r="E23" s="24" t="str">
        <f aca="false">IF(OR($A23="",$C23=0),"",($C23-$D23)/$C23)</f>
        <v/>
      </c>
      <c r="F23" s="23" t="str">
        <f aca="false">IF($A23="","",COUNTIFS(タスク一覧!$D$3:$D$102,$A23,タスク一覧!$Q$3:$Q$102,"遅延"))</f>
        <v/>
      </c>
    </row>
    <row r="24" customFormat="false" ht="15" hidden="false" customHeight="false" outlineLevel="0" collapsed="false">
      <c r="A24" s="23" t="str">
        <f aca="false">IF(INDEX(マイルストーン一覧!$B$3:$B$12,7)="","",INDEX(マイルストーン一覧!$B$3:$B$12,7))</f>
        <v/>
      </c>
      <c r="B24" s="9" t="str">
        <f aca="false">IF($A24="","",INDEX(マイルストーン一覧!$C$3:$C$12,7))</f>
        <v/>
      </c>
      <c r="C24" s="23" t="str">
        <f aca="false">IF($A24="","",COUNTIF(タスク一覧!$D$3:$D$102,$A24))</f>
        <v/>
      </c>
      <c r="D24" s="23" t="str">
        <f aca="false">IF($A24="","",COUNTIFS(タスク一覧!$D$3:$D$102,$A24,タスク一覧!$S$3:$S$102,1))</f>
        <v/>
      </c>
      <c r="E24" s="24" t="str">
        <f aca="false">IF(OR($A24="",$C24=0),"",($C24-$D24)/$C24)</f>
        <v/>
      </c>
      <c r="F24" s="23" t="str">
        <f aca="false">IF($A24="","",COUNTIFS(タスク一覧!$D$3:$D$102,$A24,タスク一覧!$Q$3:$Q$102,"遅延"))</f>
        <v/>
      </c>
    </row>
    <row r="25" customFormat="false" ht="15" hidden="false" customHeight="false" outlineLevel="0" collapsed="false">
      <c r="A25" s="23" t="str">
        <f aca="false">IF(INDEX(マイルストーン一覧!$B$3:$B$12,8)="","",INDEX(マイルストーン一覧!$B$3:$B$12,8))</f>
        <v/>
      </c>
      <c r="B25" s="9" t="str">
        <f aca="false">IF($A25="","",INDEX(マイルストーン一覧!$C$3:$C$12,8))</f>
        <v/>
      </c>
      <c r="C25" s="23" t="str">
        <f aca="false">IF($A25="","",COUNTIF(タスク一覧!$D$3:$D$102,$A25))</f>
        <v/>
      </c>
      <c r="D25" s="23" t="str">
        <f aca="false">IF($A25="","",COUNTIFS(タスク一覧!$D$3:$D$102,$A25,タスク一覧!$S$3:$S$102,1))</f>
        <v/>
      </c>
      <c r="E25" s="24" t="str">
        <f aca="false">IF(OR($A25="",$C25=0),"",($C25-$D25)/$C25)</f>
        <v/>
      </c>
      <c r="F25" s="23" t="str">
        <f aca="false">IF($A25="","",COUNTIFS(タスク一覧!$D$3:$D$102,$A25,タスク一覧!$Q$3:$Q$102,"遅延"))</f>
        <v/>
      </c>
    </row>
    <row r="26" customFormat="false" ht="15" hidden="false" customHeight="false" outlineLevel="0" collapsed="false">
      <c r="A26" s="23" t="str">
        <f aca="false">IF(INDEX(マイルストーン一覧!$B$3:$B$12,9)="","",INDEX(マイルストーン一覧!$B$3:$B$12,9))</f>
        <v/>
      </c>
      <c r="B26" s="9" t="str">
        <f aca="false">IF($A26="","",INDEX(マイルストーン一覧!$C$3:$C$12,9))</f>
        <v/>
      </c>
      <c r="C26" s="23" t="str">
        <f aca="false">IF($A26="","",COUNTIF(タスク一覧!$D$3:$D$102,$A26))</f>
        <v/>
      </c>
      <c r="D26" s="23" t="str">
        <f aca="false">IF($A26="","",COUNTIFS(タスク一覧!$D$3:$D$102,$A26,タスク一覧!$S$3:$S$102,1))</f>
        <v/>
      </c>
      <c r="E26" s="24" t="str">
        <f aca="false">IF(OR($A26="",$C26=0),"",($C26-$D26)/$C26)</f>
        <v/>
      </c>
      <c r="F26" s="23" t="str">
        <f aca="false">IF($A26="","",COUNTIFS(タスク一覧!$D$3:$D$102,$A26,タスク一覧!$Q$3:$Q$102,"遅延"))</f>
        <v/>
      </c>
    </row>
    <row r="27" customFormat="false" ht="15" hidden="false" customHeight="false" outlineLevel="0" collapsed="false">
      <c r="A27" s="23" t="str">
        <f aca="false">IF(INDEX(マイルストーン一覧!$B$3:$B$12,10)="","",INDEX(マイルストーン一覧!$B$3:$B$12,10))</f>
        <v/>
      </c>
      <c r="B27" s="9" t="str">
        <f aca="false">IF($A27="","",INDEX(マイルストーン一覧!$C$3:$C$12,10))</f>
        <v/>
      </c>
      <c r="C27" s="23" t="str">
        <f aca="false">IF($A27="","",COUNTIF(タスク一覧!$D$3:$D$102,$A27))</f>
        <v/>
      </c>
      <c r="D27" s="23" t="str">
        <f aca="false">IF($A27="","",COUNTIFS(タスク一覧!$D$3:$D$102,$A27,タスク一覧!$S$3:$S$102,1))</f>
        <v/>
      </c>
      <c r="E27" s="24" t="str">
        <f aca="false">IF(OR($A27="",$C27=0),"",($C27-$D27)/$C27)</f>
        <v/>
      </c>
      <c r="F27" s="23" t="str">
        <f aca="false">IF($A27="","",COUNTIFS(タスク一覧!$D$3:$D$102,$A27,タスク一覧!$Q$3:$Q$102,"遅延"))</f>
        <v/>
      </c>
    </row>
    <row r="29" customFormat="false" ht="15" hidden="false" customHeight="false" outlineLevel="0" collapsed="false">
      <c r="A29" s="5" t="s">
        <v>108</v>
      </c>
    </row>
    <row r="30" customFormat="false" ht="15" hidden="false" customHeight="false" outlineLevel="0" collapsed="false">
      <c r="A30" s="25" t="s">
        <v>109</v>
      </c>
      <c r="B30" s="23" t="n">
        <f aca="false">COUNT(タスク一覧!$A$3:$A$102)</f>
        <v>11</v>
      </c>
    </row>
    <row r="31" customFormat="false" ht="15" hidden="false" customHeight="false" outlineLevel="0" collapsed="false">
      <c r="A31" s="25" t="s">
        <v>102</v>
      </c>
      <c r="B31" s="23" t="n">
        <f aca="false">SUM(タスク一覧!$S$3:$S$102)</f>
        <v>9</v>
      </c>
    </row>
    <row r="32" customFormat="false" ht="15" hidden="false" customHeight="false" outlineLevel="0" collapsed="false">
      <c r="A32" s="25" t="s">
        <v>110</v>
      </c>
      <c r="B32" s="23" t="n">
        <f aca="false">COUNTIFS(タスク一覧!$P$3:$P$102,"クリティカル",タスク一覧!$S$3:$S$102,1)</f>
        <v>7</v>
      </c>
    </row>
    <row r="33" customFormat="false" ht="15" hidden="false" customHeight="false" outlineLevel="0" collapsed="false">
      <c r="A33" s="25" t="s">
        <v>103</v>
      </c>
      <c r="B33" s="23" t="n">
        <f aca="false">COUNTIF(タスク一覧!$Q$3:$Q$102,"遅延")</f>
        <v>0</v>
      </c>
    </row>
    <row r="34" customFormat="false" ht="15" hidden="false" customHeight="false" outlineLevel="0" collapsed="false">
      <c r="A34" s="25" t="s">
        <v>46</v>
      </c>
      <c r="B34" s="9" t="n">
        <f aca="false">設定!$B$2</f>
        <v>46237</v>
      </c>
    </row>
    <row r="35" customFormat="false" ht="15" hidden="false" customHeight="false" outlineLevel="0" collapsed="false">
      <c r="A35" s="25" t="s">
        <v>111</v>
      </c>
      <c r="B35" s="9" t="n">
        <f aca="false">設定!$B$3</f>
        <v>46280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2026-07-24T01:14:57Z</dcterms:created>
  <dc:creator>openpyxl</dc:creator>
  <dc:description/>
  <dc:language>en-US</dc:language>
  <cp:lastModifiedBy/>
  <dcterms:modified xsi:type="dcterms:W3CDTF">2026-07-24T01:14:57Z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